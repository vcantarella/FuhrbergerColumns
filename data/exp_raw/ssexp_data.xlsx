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cantarella/Documents/FuhrbergerColumns/data/exp_raw/"/>
    </mc:Choice>
  </mc:AlternateContent>
  <xr:revisionPtr revIDLastSave="0" documentId="13_ncr:1_{8E416A8C-C208-A44D-9DB4-A7E8495644DC}" xr6:coauthVersionLast="47" xr6:coauthVersionMax="47" xr10:uidLastSave="{00000000-0000-0000-0000-000000000000}"/>
  <bookViews>
    <workbookView xWindow="20" yWindow="740" windowWidth="29400" windowHeight="16680" firstSheet="2" activeTab="12" xr2:uid="{82067E57-95C1-4A4D-B858-7597035F15DE}"/>
  </bookViews>
  <sheets>
    <sheet name="general_samples_p1" sheetId="1" r:id="rId1"/>
    <sheet name="general_samples_p2" sheetId="4" r:id="rId2"/>
    <sheet name="general_samples_p3" sheetId="5" r:id="rId3"/>
    <sheet name="general_samples_p4" sheetId="6" r:id="rId4"/>
    <sheet name="IC_table" sheetId="11" r:id="rId5"/>
    <sheet name="bromide_curve" sheetId="9" r:id="rId6"/>
    <sheet name="bromide_curve_v2" sheetId="10" r:id="rId7"/>
    <sheet name="fe_total" sheetId="2" r:id="rId8"/>
    <sheet name="hs" sheetId="3" r:id="rId9"/>
    <sheet name="standard_curve_no2" sheetId="7" r:id="rId10"/>
    <sheet name="fe_plate_1" sheetId="8" r:id="rId11"/>
    <sheet name="DIC_DOC" sheetId="12" r:id="rId12"/>
    <sheet name="IC_raw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5" l="1"/>
  <c r="L3" i="10"/>
  <c r="L7" i="10"/>
  <c r="L11" i="10"/>
  <c r="L15" i="10"/>
  <c r="L16" i="10"/>
  <c r="L19" i="10"/>
  <c r="K9" i="4"/>
  <c r="L9" i="4"/>
  <c r="K16" i="4"/>
  <c r="L16" i="4"/>
  <c r="K24" i="4"/>
  <c r="L24" i="4"/>
  <c r="K28" i="4"/>
  <c r="L28" i="4"/>
  <c r="K36" i="4"/>
  <c r="L36" i="4"/>
  <c r="K40" i="4"/>
  <c r="L40" i="4"/>
  <c r="K47" i="4"/>
  <c r="L47" i="4"/>
  <c r="K59" i="4"/>
  <c r="L59" i="4"/>
  <c r="K61" i="4"/>
  <c r="L61" i="4"/>
  <c r="K71" i="4"/>
  <c r="L71" i="4"/>
  <c r="K4" i="1"/>
  <c r="K9" i="1"/>
  <c r="K16" i="1"/>
  <c r="K24" i="1"/>
  <c r="K28" i="1"/>
  <c r="K36" i="1"/>
  <c r="K40" i="1"/>
  <c r="K44" i="1"/>
  <c r="K48" i="1"/>
  <c r="K56" i="1"/>
  <c r="K57" i="1"/>
  <c r="K64" i="1"/>
  <c r="K68" i="1"/>
  <c r="K71" i="1"/>
  <c r="K76" i="1"/>
  <c r="K81" i="1"/>
  <c r="L4" i="1"/>
  <c r="L9" i="1"/>
  <c r="L16" i="1"/>
  <c r="L24" i="1"/>
  <c r="L28" i="1"/>
  <c r="L36" i="1"/>
  <c r="L40" i="1"/>
  <c r="L44" i="1"/>
  <c r="L48" i="1"/>
  <c r="L56" i="1"/>
  <c r="L57" i="1"/>
  <c r="L64" i="1"/>
  <c r="L68" i="1"/>
  <c r="L71" i="1"/>
  <c r="L76" i="1"/>
  <c r="L81" i="1"/>
  <c r="C14" i="14" a="1"/>
  <c r="C14" i="14" s="1"/>
  <c r="C15" i="14" a="1"/>
  <c r="C15" i="14" s="1"/>
  <c r="C16" i="14" a="1"/>
  <c r="C16" i="14"/>
  <c r="C17" i="14" a="1"/>
  <c r="C17" i="14"/>
  <c r="C18" i="14" a="1"/>
  <c r="C18" i="14" s="1"/>
  <c r="C19" i="14" a="1"/>
  <c r="C19" i="14" s="1"/>
  <c r="C20" i="14" a="1"/>
  <c r="C20" i="14" s="1"/>
  <c r="C21" i="14" a="1"/>
  <c r="C21" i="14"/>
  <c r="C22" i="14" a="1"/>
  <c r="C22" i="14" s="1"/>
  <c r="C23" i="14" a="1"/>
  <c r="C23" i="14" s="1"/>
  <c r="C24" i="14" a="1"/>
  <c r="C24" i="14"/>
  <c r="C25" i="14" a="1"/>
  <c r="C25" i="14"/>
  <c r="C26" i="14" a="1"/>
  <c r="C26" i="14" s="1"/>
  <c r="C27" i="14" a="1"/>
  <c r="C27" i="14" s="1"/>
  <c r="C28" i="14" a="1"/>
  <c r="C28" i="14"/>
  <c r="C29" i="14" a="1"/>
  <c r="C29" i="14" s="1"/>
  <c r="C30" i="14" a="1"/>
  <c r="C30" i="14" s="1"/>
  <c r="C31" i="14" a="1"/>
  <c r="C31" i="14" s="1"/>
  <c r="C32" i="14" a="1"/>
  <c r="C32" i="14"/>
  <c r="C33" i="14" a="1"/>
  <c r="C33" i="14"/>
  <c r="C34" i="14" a="1"/>
  <c r="C34" i="14" s="1"/>
  <c r="C35" i="14" a="1"/>
  <c r="C35" i="14" s="1"/>
  <c r="C36" i="14" a="1"/>
  <c r="C36" i="14"/>
  <c r="C37" i="14" a="1"/>
  <c r="C37" i="14"/>
  <c r="C38" i="14" a="1"/>
  <c r="C38" i="14" s="1"/>
  <c r="C39" i="14" a="1"/>
  <c r="C39" i="14" s="1"/>
  <c r="C40" i="14" a="1"/>
  <c r="C40" i="14"/>
  <c r="C41" i="14" a="1"/>
  <c r="C41" i="14"/>
  <c r="C42" i="14" a="1"/>
  <c r="C42" i="14" s="1"/>
  <c r="C43" i="14" a="1"/>
  <c r="C43" i="14" s="1"/>
  <c r="C44" i="14" a="1"/>
  <c r="C44" i="14"/>
  <c r="C45" i="14" a="1"/>
  <c r="C45" i="14"/>
  <c r="C46" i="14" a="1"/>
  <c r="C46" i="14" s="1"/>
  <c r="C47" i="14" a="1"/>
  <c r="C47" i="14" s="1"/>
  <c r="C48" i="14" a="1"/>
  <c r="C48" i="14"/>
  <c r="C49" i="14" a="1"/>
  <c r="C49" i="14"/>
  <c r="C50" i="14" a="1"/>
  <c r="C50" i="14" s="1"/>
  <c r="C51" i="14" a="1"/>
  <c r="C51" i="14" s="1"/>
  <c r="C52" i="14" a="1"/>
  <c r="C52" i="14"/>
  <c r="C53" i="14" a="1"/>
  <c r="C53" i="14"/>
  <c r="C54" i="14" a="1"/>
  <c r="C54" i="14" s="1"/>
  <c r="C55" i="14" a="1"/>
  <c r="C55" i="14" s="1"/>
  <c r="C56" i="14" a="1"/>
  <c r="C56" i="14"/>
  <c r="C57" i="14" a="1"/>
  <c r="C57" i="14"/>
  <c r="C58" i="14" a="1"/>
  <c r="C58" i="14" s="1"/>
  <c r="C59" i="14" a="1"/>
  <c r="C59" i="14" s="1"/>
  <c r="C60" i="14" a="1"/>
  <c r="C60" i="14"/>
  <c r="C61" i="14" a="1"/>
  <c r="C61" i="14"/>
  <c r="C62" i="14" a="1"/>
  <c r="C62" i="14" s="1"/>
  <c r="C63" i="14" a="1"/>
  <c r="C63" i="14" s="1"/>
  <c r="K41" i="6" s="1"/>
  <c r="C64" i="14" a="1"/>
  <c r="C64" i="14"/>
  <c r="C65" i="14" a="1"/>
  <c r="C65" i="14"/>
  <c r="C66" i="14" a="1"/>
  <c r="C66" i="14" s="1"/>
  <c r="C67" i="14" a="1"/>
  <c r="C67" i="14" s="1"/>
  <c r="C68" i="14" a="1"/>
  <c r="C68" i="14"/>
  <c r="C69" i="14" a="1"/>
  <c r="C69" i="14"/>
  <c r="C70" i="14" a="1"/>
  <c r="C70" i="14" s="1"/>
  <c r="C71" i="14" a="1"/>
  <c r="C71" i="14" s="1"/>
  <c r="C72" i="14" a="1"/>
  <c r="C72" i="14"/>
  <c r="C73" i="14" a="1"/>
  <c r="C73" i="14"/>
  <c r="C74" i="14" a="1"/>
  <c r="C74" i="14" s="1"/>
  <c r="C75" i="14" a="1"/>
  <c r="C75" i="14" s="1"/>
  <c r="C76" i="14" a="1"/>
  <c r="C76" i="14"/>
  <c r="C77" i="14" a="1"/>
  <c r="C77" i="14"/>
  <c r="C78" i="14" a="1"/>
  <c r="C78" i="14" s="1"/>
  <c r="C79" i="14" a="1"/>
  <c r="C79" i="14" s="1"/>
  <c r="C80" i="14" a="1"/>
  <c r="C80" i="14"/>
  <c r="C81" i="14" a="1"/>
  <c r="C81" i="14"/>
  <c r="C82" i="14" a="1"/>
  <c r="C82" i="14" s="1"/>
  <c r="C83" i="14" a="1"/>
  <c r="C83" i="14" s="1"/>
  <c r="C84" i="14" a="1"/>
  <c r="C84" i="14"/>
  <c r="C85" i="14" a="1"/>
  <c r="C85" i="14"/>
  <c r="C86" i="14" a="1"/>
  <c r="C86" i="14" s="1"/>
  <c r="C87" i="14" a="1"/>
  <c r="C87" i="14" s="1"/>
  <c r="C88" i="14" a="1"/>
  <c r="C88" i="14"/>
  <c r="C89" i="14" a="1"/>
  <c r="C89" i="14"/>
  <c r="C90" i="14" a="1"/>
  <c r="C90" i="14" s="1"/>
  <c r="C91" i="14" a="1"/>
  <c r="C91" i="14" s="1"/>
  <c r="C92" i="14" a="1"/>
  <c r="C92" i="14"/>
  <c r="C93" i="14" a="1"/>
  <c r="C93" i="14"/>
  <c r="C94" i="14" a="1"/>
  <c r="C94" i="14" s="1"/>
  <c r="C95" i="14" a="1"/>
  <c r="C95" i="14" s="1"/>
  <c r="C96" i="14" a="1"/>
  <c r="C96" i="14" s="1"/>
  <c r="C97" i="14" a="1"/>
  <c r="C97" i="14"/>
  <c r="C98" i="14" a="1"/>
  <c r="C98" i="14" s="1"/>
  <c r="C99" i="14" a="1"/>
  <c r="C99" i="14" s="1"/>
  <c r="C100" i="14" a="1"/>
  <c r="C100" i="14"/>
  <c r="C101" i="14" a="1"/>
  <c r="C101" i="14"/>
  <c r="C102" i="14" a="1"/>
  <c r="C102" i="14" s="1"/>
  <c r="C103" i="14" a="1"/>
  <c r="C103" i="14" s="1"/>
  <c r="C104" i="14" a="1"/>
  <c r="C104" i="14"/>
  <c r="C105" i="14" a="1"/>
  <c r="C105" i="14"/>
  <c r="C106" i="14" a="1"/>
  <c r="C106" i="14" s="1"/>
  <c r="C107" i="14" a="1"/>
  <c r="C107" i="14" s="1"/>
  <c r="C108" i="14" a="1"/>
  <c r="C108" i="14" s="1"/>
  <c r="C109" i="14" a="1"/>
  <c r="C109" i="14" s="1"/>
  <c r="C110" i="14" a="1"/>
  <c r="C110" i="14" s="1"/>
  <c r="C111" i="14" a="1"/>
  <c r="C111" i="14" s="1"/>
  <c r="C13" i="14" a="1"/>
  <c r="C13" i="14" s="1"/>
  <c r="C3" i="14" a="1"/>
  <c r="C3" i="14" s="1"/>
  <c r="C4" i="14" a="1"/>
  <c r="C4" i="14"/>
  <c r="C5" i="14" a="1"/>
  <c r="C5" i="14" s="1"/>
  <c r="C6" i="14" a="1"/>
  <c r="C6" i="14"/>
  <c r="C7" i="14" a="1"/>
  <c r="C7" i="14" s="1"/>
  <c r="C8" i="14" a="1"/>
  <c r="C8" i="14"/>
  <c r="C9" i="14" a="1"/>
  <c r="C9" i="14" s="1"/>
  <c r="C10" i="14" a="1"/>
  <c r="C10" i="14"/>
  <c r="C11" i="14" a="1"/>
  <c r="C11" i="14" s="1"/>
  <c r="C12" i="14" a="1"/>
  <c r="C12" i="14"/>
  <c r="C2" i="14" a="1"/>
  <c r="C2" i="14" s="1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7" i="12"/>
  <c r="L55" i="1" l="1"/>
  <c r="L65" i="1"/>
  <c r="L15" i="1"/>
  <c r="K35" i="1"/>
  <c r="L73" i="1"/>
  <c r="L25" i="1"/>
  <c r="L80" i="1"/>
  <c r="L69" i="1"/>
  <c r="L18" i="1"/>
  <c r="K75" i="1"/>
  <c r="K53" i="1"/>
  <c r="L42" i="1"/>
  <c r="L31" i="1"/>
  <c r="L17" i="1"/>
  <c r="K74" i="1"/>
  <c r="K65" i="1"/>
  <c r="K51" i="1"/>
  <c r="K37" i="1"/>
  <c r="K26" i="1"/>
  <c r="K10" i="1"/>
  <c r="K81" i="4"/>
  <c r="K73" i="4"/>
  <c r="L65" i="4"/>
  <c r="K55" i="4"/>
  <c r="L33" i="4"/>
  <c r="K26" i="4"/>
  <c r="K19" i="4"/>
  <c r="L12" i="4"/>
  <c r="L5" i="4"/>
  <c r="L78" i="5"/>
  <c r="L70" i="5"/>
  <c r="L62" i="5"/>
  <c r="L54" i="5"/>
  <c r="L46" i="5"/>
  <c r="K36" i="5"/>
  <c r="L26" i="5"/>
  <c r="K15" i="5"/>
  <c r="K4" i="5"/>
  <c r="L75" i="6"/>
  <c r="K61" i="6"/>
  <c r="K45" i="6"/>
  <c r="K25" i="6"/>
  <c r="L75" i="1"/>
  <c r="K73" i="1"/>
  <c r="K50" i="1"/>
  <c r="K80" i="4"/>
  <c r="K72" i="4"/>
  <c r="K63" i="4"/>
  <c r="L54" i="4"/>
  <c r="K39" i="4"/>
  <c r="L32" i="4"/>
  <c r="L25" i="4"/>
  <c r="K18" i="4"/>
  <c r="K11" i="4"/>
  <c r="L4" i="4"/>
  <c r="L77" i="5"/>
  <c r="L69" i="5"/>
  <c r="L61" i="5"/>
  <c r="L53" i="5"/>
  <c r="L45" i="5"/>
  <c r="K35" i="5"/>
  <c r="K24" i="5"/>
  <c r="L14" i="5"/>
  <c r="K3" i="5"/>
  <c r="K73" i="6"/>
  <c r="K60" i="6"/>
  <c r="K44" i="6"/>
  <c r="L2" i="1"/>
  <c r="K82" i="1"/>
  <c r="K8" i="1"/>
  <c r="L79" i="4"/>
  <c r="K62" i="4"/>
  <c r="L53" i="4"/>
  <c r="L46" i="4"/>
  <c r="K38" i="4"/>
  <c r="K31" i="4"/>
  <c r="L17" i="4"/>
  <c r="K10" i="4"/>
  <c r="K3" i="4"/>
  <c r="K76" i="5"/>
  <c r="K68" i="5"/>
  <c r="K60" i="5"/>
  <c r="K52" i="5"/>
  <c r="K44" i="5"/>
  <c r="L34" i="5"/>
  <c r="K23" i="5"/>
  <c r="K12" i="5"/>
  <c r="K2" i="6"/>
  <c r="K72" i="6"/>
  <c r="K57" i="6"/>
  <c r="L10" i="10"/>
  <c r="L18" i="10"/>
  <c r="L26" i="10"/>
  <c r="L34" i="10"/>
  <c r="L42" i="10"/>
  <c r="L50" i="10"/>
  <c r="L58" i="10"/>
  <c r="L4" i="6"/>
  <c r="L8" i="6"/>
  <c r="L12" i="6"/>
  <c r="L16" i="6"/>
  <c r="L20" i="6"/>
  <c r="L24" i="6"/>
  <c r="L28" i="6"/>
  <c r="L32" i="6"/>
  <c r="L36" i="6"/>
  <c r="L40" i="6"/>
  <c r="L44" i="6"/>
  <c r="L48" i="6"/>
  <c r="L52" i="6"/>
  <c r="L56" i="6"/>
  <c r="L60" i="6"/>
  <c r="L64" i="6"/>
  <c r="L68" i="6"/>
  <c r="L72" i="6"/>
  <c r="L76" i="6"/>
  <c r="L80" i="6"/>
  <c r="L3" i="5"/>
  <c r="L7" i="5"/>
  <c r="L11" i="5"/>
  <c r="L15" i="5"/>
  <c r="L19" i="5"/>
  <c r="L23" i="5"/>
  <c r="L27" i="5"/>
  <c r="L31" i="5"/>
  <c r="L35" i="5"/>
  <c r="L39" i="5"/>
  <c r="L43" i="5"/>
  <c r="L47" i="5"/>
  <c r="L51" i="5"/>
  <c r="L55" i="5"/>
  <c r="L59" i="5"/>
  <c r="L63" i="5"/>
  <c r="L67" i="5"/>
  <c r="L71" i="5"/>
  <c r="L75" i="5"/>
  <c r="L79" i="5"/>
  <c r="K2" i="5"/>
  <c r="L6" i="4"/>
  <c r="L10" i="4"/>
  <c r="L14" i="4"/>
  <c r="L18" i="4"/>
  <c r="L22" i="4"/>
  <c r="L26" i="4"/>
  <c r="L30" i="4"/>
  <c r="L34" i="4"/>
  <c r="L38" i="4"/>
  <c r="L42" i="4"/>
  <c r="L51" i="4"/>
  <c r="L55" i="4"/>
  <c r="L62" i="4"/>
  <c r="L67" i="4"/>
  <c r="L72" i="4"/>
  <c r="L76" i="4"/>
  <c r="L80" i="4"/>
  <c r="K12" i="1"/>
  <c r="K20" i="1"/>
  <c r="K52" i="1"/>
  <c r="K60" i="1"/>
  <c r="L3" i="1"/>
  <c r="L11" i="1"/>
  <c r="L19" i="1"/>
  <c r="L27" i="1"/>
  <c r="L35" i="1"/>
  <c r="L43" i="1"/>
  <c r="L51" i="1"/>
  <c r="L59" i="1"/>
  <c r="L67" i="1"/>
  <c r="L27" i="10"/>
  <c r="L35" i="10"/>
  <c r="L43" i="10"/>
  <c r="L51" i="10"/>
  <c r="L59" i="10"/>
  <c r="K5" i="6"/>
  <c r="K9" i="6"/>
  <c r="K13" i="6"/>
  <c r="K17" i="6"/>
  <c r="K21" i="6"/>
  <c r="L4" i="10"/>
  <c r="L12" i="10"/>
  <c r="L20" i="10"/>
  <c r="L28" i="10"/>
  <c r="L36" i="10"/>
  <c r="L44" i="10"/>
  <c r="L52" i="10"/>
  <c r="L60" i="10"/>
  <c r="L5" i="6"/>
  <c r="L9" i="6"/>
  <c r="L13" i="6"/>
  <c r="L17" i="6"/>
  <c r="L21" i="6"/>
  <c r="L25" i="6"/>
  <c r="L29" i="6"/>
  <c r="L33" i="6"/>
  <c r="L37" i="6"/>
  <c r="L41" i="6"/>
  <c r="L45" i="6"/>
  <c r="L49" i="6"/>
  <c r="L53" i="6"/>
  <c r="L57" i="6"/>
  <c r="L61" i="6"/>
  <c r="L65" i="6"/>
  <c r="L69" i="6"/>
  <c r="L73" i="6"/>
  <c r="L77" i="6"/>
  <c r="L81" i="6"/>
  <c r="L4" i="5"/>
  <c r="L8" i="5"/>
  <c r="L12" i="5"/>
  <c r="L16" i="5"/>
  <c r="L20" i="5"/>
  <c r="L24" i="5"/>
  <c r="L28" i="5"/>
  <c r="L32" i="5"/>
  <c r="L36" i="5"/>
  <c r="L40" i="5"/>
  <c r="L44" i="5"/>
  <c r="L48" i="5"/>
  <c r="L52" i="5"/>
  <c r="L56" i="5"/>
  <c r="L60" i="5"/>
  <c r="L64" i="5"/>
  <c r="L68" i="5"/>
  <c r="L72" i="5"/>
  <c r="L76" i="5"/>
  <c r="L80" i="5"/>
  <c r="L3" i="4"/>
  <c r="L7" i="4"/>
  <c r="L11" i="4"/>
  <c r="L15" i="4"/>
  <c r="L19" i="4"/>
  <c r="L23" i="4"/>
  <c r="L27" i="4"/>
  <c r="L31" i="4"/>
  <c r="L35" i="4"/>
  <c r="L39" i="4"/>
  <c r="L43" i="4"/>
  <c r="L48" i="4"/>
  <c r="L52" i="4"/>
  <c r="L57" i="4"/>
  <c r="L63" i="4"/>
  <c r="L69" i="4"/>
  <c r="L73" i="4"/>
  <c r="L77" i="4"/>
  <c r="L81" i="4"/>
  <c r="K6" i="1"/>
  <c r="K14" i="1"/>
  <c r="K22" i="1"/>
  <c r="K30" i="1"/>
  <c r="K38" i="1"/>
  <c r="K46" i="1"/>
  <c r="K54" i="1"/>
  <c r="K62" i="1"/>
  <c r="K70" i="1"/>
  <c r="K78" i="1"/>
  <c r="L5" i="1"/>
  <c r="L13" i="1"/>
  <c r="L21" i="1"/>
  <c r="L29" i="1"/>
  <c r="L37" i="1"/>
  <c r="L45" i="1"/>
  <c r="L53" i="1"/>
  <c r="L61" i="1"/>
  <c r="L5" i="10"/>
  <c r="L13" i="10"/>
  <c r="L21" i="10"/>
  <c r="L29" i="10"/>
  <c r="L37" i="10"/>
  <c r="L45" i="10"/>
  <c r="L53" i="10"/>
  <c r="L61" i="10"/>
  <c r="K6" i="6"/>
  <c r="K10" i="6"/>
  <c r="K14" i="6"/>
  <c r="K18" i="6"/>
  <c r="K22" i="6"/>
  <c r="K26" i="6"/>
  <c r="K30" i="6"/>
  <c r="K34" i="6"/>
  <c r="K38" i="6"/>
  <c r="K42" i="6"/>
  <c r="K46" i="6"/>
  <c r="K50" i="6"/>
  <c r="K54" i="6"/>
  <c r="K58" i="6"/>
  <c r="K62" i="6"/>
  <c r="K66" i="6"/>
  <c r="K70" i="6"/>
  <c r="K74" i="6"/>
  <c r="K78" i="6"/>
  <c r="K82" i="6"/>
  <c r="K5" i="5"/>
  <c r="K9" i="5"/>
  <c r="K13" i="5"/>
  <c r="K17" i="5"/>
  <c r="K21" i="5"/>
  <c r="K25" i="5"/>
  <c r="K29" i="5"/>
  <c r="K33" i="5"/>
  <c r="K37" i="5"/>
  <c r="K41" i="5"/>
  <c r="K45" i="5"/>
  <c r="K49" i="5"/>
  <c r="K53" i="5"/>
  <c r="K57" i="5"/>
  <c r="K61" i="5"/>
  <c r="K65" i="5"/>
  <c r="K69" i="5"/>
  <c r="K73" i="5"/>
  <c r="K77" i="5"/>
  <c r="K81" i="5"/>
  <c r="K4" i="4"/>
  <c r="K8" i="4"/>
  <c r="K12" i="4"/>
  <c r="K20" i="4"/>
  <c r="K32" i="4"/>
  <c r="K45" i="4"/>
  <c r="K49" i="4"/>
  <c r="K53" i="4"/>
  <c r="K65" i="4"/>
  <c r="K70" i="4"/>
  <c r="K74" i="4"/>
  <c r="K78" i="4"/>
  <c r="K82" i="4"/>
  <c r="K7" i="1"/>
  <c r="K15" i="1"/>
  <c r="K23" i="1"/>
  <c r="K31" i="1"/>
  <c r="K39" i="1"/>
  <c r="K47" i="1"/>
  <c r="K55" i="1"/>
  <c r="K63" i="1"/>
  <c r="K79" i="1"/>
  <c r="L6" i="1"/>
  <c r="L14" i="1"/>
  <c r="L22" i="1"/>
  <c r="L30" i="1"/>
  <c r="L38" i="1"/>
  <c r="L46" i="1"/>
  <c r="L54" i="1"/>
  <c r="L62" i="1"/>
  <c r="L6" i="10"/>
  <c r="L14" i="10"/>
  <c r="L22" i="10"/>
  <c r="L30" i="10"/>
  <c r="L38" i="10"/>
  <c r="L46" i="10"/>
  <c r="L54" i="10"/>
  <c r="L2" i="10"/>
  <c r="L6" i="6"/>
  <c r="L10" i="6"/>
  <c r="L14" i="6"/>
  <c r="L18" i="6"/>
  <c r="L22" i="6"/>
  <c r="L26" i="6"/>
  <c r="L30" i="6"/>
  <c r="L34" i="6"/>
  <c r="L38" i="6"/>
  <c r="L42" i="6"/>
  <c r="L46" i="6"/>
  <c r="L50" i="6"/>
  <c r="L54" i="6"/>
  <c r="L58" i="6"/>
  <c r="L62" i="6"/>
  <c r="L66" i="6"/>
  <c r="L70" i="6"/>
  <c r="L74" i="6"/>
  <c r="L78" i="6"/>
  <c r="L82" i="6"/>
  <c r="L5" i="5"/>
  <c r="L9" i="5"/>
  <c r="L13" i="5"/>
  <c r="L17" i="5"/>
  <c r="L21" i="5"/>
  <c r="L25" i="5"/>
  <c r="L29" i="5"/>
  <c r="L33" i="5"/>
  <c r="L37" i="5"/>
  <c r="L41" i="5"/>
  <c r="L23" i="10"/>
  <c r="L31" i="10"/>
  <c r="L39" i="10"/>
  <c r="L47" i="10"/>
  <c r="L55" i="10"/>
  <c r="K3" i="6"/>
  <c r="K7" i="6"/>
  <c r="K11" i="6"/>
  <c r="K15" i="6"/>
  <c r="K19" i="6"/>
  <c r="K23" i="6"/>
  <c r="K27" i="6"/>
  <c r="K31" i="6"/>
  <c r="K35" i="6"/>
  <c r="K39" i="6"/>
  <c r="K43" i="6"/>
  <c r="K47" i="6"/>
  <c r="K51" i="6"/>
  <c r="K55" i="6"/>
  <c r="K59" i="6"/>
  <c r="K63" i="6"/>
  <c r="K67" i="6"/>
  <c r="K71" i="6"/>
  <c r="K75" i="6"/>
  <c r="K79" i="6"/>
  <c r="L2" i="6"/>
  <c r="K6" i="5"/>
  <c r="K10" i="5"/>
  <c r="K14" i="5"/>
  <c r="K18" i="5"/>
  <c r="K22" i="5"/>
  <c r="K26" i="5"/>
  <c r="K30" i="5"/>
  <c r="K34" i="5"/>
  <c r="K38" i="5"/>
  <c r="K42" i="5"/>
  <c r="K46" i="5"/>
  <c r="K50" i="5"/>
  <c r="K54" i="5"/>
  <c r="K58" i="5"/>
  <c r="K62" i="5"/>
  <c r="K66" i="5"/>
  <c r="K70" i="5"/>
  <c r="K74" i="5"/>
  <c r="K78" i="5"/>
  <c r="K82" i="5"/>
  <c r="K5" i="4"/>
  <c r="K13" i="4"/>
  <c r="K17" i="4"/>
  <c r="K21" i="4"/>
  <c r="K25" i="4"/>
  <c r="K29" i="4"/>
  <c r="K33" i="4"/>
  <c r="K37" i="4"/>
  <c r="K41" i="4"/>
  <c r="K46" i="4"/>
  <c r="K50" i="4"/>
  <c r="K54" i="4"/>
  <c r="K66" i="4"/>
  <c r="K75" i="4"/>
  <c r="K79" i="4"/>
  <c r="K2" i="4"/>
  <c r="K17" i="1"/>
  <c r="K25" i="1"/>
  <c r="K33" i="1"/>
  <c r="K41" i="1"/>
  <c r="K49" i="1"/>
  <c r="L8" i="10"/>
  <c r="L24" i="10"/>
  <c r="L32" i="10"/>
  <c r="L40" i="10"/>
  <c r="L48" i="10"/>
  <c r="L56" i="10"/>
  <c r="L3" i="6"/>
  <c r="L7" i="6"/>
  <c r="L11" i="6"/>
  <c r="L15" i="6"/>
  <c r="L19" i="6"/>
  <c r="L23" i="6"/>
  <c r="L27" i="6"/>
  <c r="L31" i="6"/>
  <c r="L35" i="6"/>
  <c r="L39" i="6"/>
  <c r="L43" i="6"/>
  <c r="L47" i="6"/>
  <c r="L51" i="6"/>
  <c r="L55" i="6"/>
  <c r="L59" i="6"/>
  <c r="L63" i="6"/>
  <c r="L67" i="6"/>
  <c r="L9" i="10"/>
  <c r="L17" i="10"/>
  <c r="L25" i="10"/>
  <c r="L33" i="10"/>
  <c r="L41" i="10"/>
  <c r="L49" i="10"/>
  <c r="L57" i="10"/>
  <c r="K4" i="6"/>
  <c r="K8" i="6"/>
  <c r="K12" i="6"/>
  <c r="K16" i="6"/>
  <c r="K20" i="6"/>
  <c r="K24" i="6"/>
  <c r="K28" i="6"/>
  <c r="K32" i="6"/>
  <c r="L52" i="1"/>
  <c r="K72" i="1"/>
  <c r="L50" i="1"/>
  <c r="K45" i="1"/>
  <c r="K34" i="1"/>
  <c r="K19" i="1"/>
  <c r="K5" i="1"/>
  <c r="L78" i="4"/>
  <c r="K52" i="4"/>
  <c r="L45" i="4"/>
  <c r="L37" i="4"/>
  <c r="K30" i="4"/>
  <c r="L2" i="5"/>
  <c r="K75" i="5"/>
  <c r="K67" i="5"/>
  <c r="K59" i="5"/>
  <c r="K51" i="5"/>
  <c r="K43" i="5"/>
  <c r="K32" i="5"/>
  <c r="L22" i="5"/>
  <c r="K11" i="5"/>
  <c r="K81" i="6"/>
  <c r="L71" i="6"/>
  <c r="K56" i="6"/>
  <c r="K40" i="6"/>
  <c r="K2" i="1"/>
  <c r="K69" i="1"/>
  <c r="K77" i="4"/>
  <c r="K51" i="4"/>
  <c r="L29" i="4"/>
  <c r="K23" i="4"/>
  <c r="L82" i="5"/>
  <c r="L74" i="5"/>
  <c r="L66" i="5"/>
  <c r="L58" i="5"/>
  <c r="L50" i="5"/>
  <c r="L42" i="5"/>
  <c r="K31" i="5"/>
  <c r="K20" i="5"/>
  <c r="L10" i="5"/>
  <c r="K80" i="6"/>
  <c r="K69" i="6"/>
  <c r="K53" i="6"/>
  <c r="K37" i="6"/>
  <c r="L66" i="1"/>
  <c r="L82" i="1"/>
  <c r="K61" i="1"/>
  <c r="L12" i="1"/>
  <c r="L63" i="1"/>
  <c r="L49" i="1"/>
  <c r="L10" i="1"/>
  <c r="K80" i="1"/>
  <c r="K58" i="1"/>
  <c r="K32" i="1"/>
  <c r="K18" i="1"/>
  <c r="L70" i="4"/>
  <c r="K43" i="4"/>
  <c r="L79" i="1"/>
  <c r="L60" i="1"/>
  <c r="L34" i="1"/>
  <c r="L23" i="1"/>
  <c r="K77" i="1"/>
  <c r="K43" i="1"/>
  <c r="K29" i="1"/>
  <c r="K3" i="1"/>
  <c r="K76" i="4"/>
  <c r="K69" i="4"/>
  <c r="L50" i="4"/>
  <c r="K42" i="4"/>
  <c r="K22" i="4"/>
  <c r="K15" i="4"/>
  <c r="L8" i="4"/>
  <c r="L81" i="5"/>
  <c r="L73" i="5"/>
  <c r="L65" i="5"/>
  <c r="L57" i="5"/>
  <c r="L49" i="5"/>
  <c r="K40" i="5"/>
  <c r="L30" i="5"/>
  <c r="K19" i="5"/>
  <c r="K8" i="5"/>
  <c r="L79" i="6"/>
  <c r="K68" i="6"/>
  <c r="K52" i="6"/>
  <c r="K36" i="6"/>
  <c r="L72" i="1"/>
  <c r="L78" i="1"/>
  <c r="L70" i="1"/>
  <c r="L58" i="1"/>
  <c r="L47" i="1"/>
  <c r="L33" i="1"/>
  <c r="L20" i="1"/>
  <c r="L8" i="1"/>
  <c r="K67" i="1"/>
  <c r="K42" i="1"/>
  <c r="K13" i="1"/>
  <c r="L2" i="4"/>
  <c r="L75" i="4"/>
  <c r="K67" i="4"/>
  <c r="L49" i="4"/>
  <c r="L41" i="4"/>
  <c r="K35" i="4"/>
  <c r="L21" i="4"/>
  <c r="K14" i="4"/>
  <c r="K7" i="4"/>
  <c r="K80" i="5"/>
  <c r="K72" i="5"/>
  <c r="K64" i="5"/>
  <c r="K56" i="5"/>
  <c r="K48" i="5"/>
  <c r="K39" i="5"/>
  <c r="K28" i="5"/>
  <c r="L18" i="5"/>
  <c r="K7" i="5"/>
  <c r="K77" i="6"/>
  <c r="K65" i="6"/>
  <c r="K49" i="6"/>
  <c r="K33" i="6"/>
  <c r="L41" i="1"/>
  <c r="L74" i="1"/>
  <c r="L26" i="1"/>
  <c r="K21" i="1"/>
  <c r="L39" i="1"/>
  <c r="K59" i="1"/>
  <c r="L77" i="1"/>
  <c r="L32" i="1"/>
  <c r="L7" i="1"/>
  <c r="K66" i="1"/>
  <c r="K27" i="1"/>
  <c r="K11" i="1"/>
  <c r="L82" i="4"/>
  <c r="L74" i="4"/>
  <c r="L66" i="4"/>
  <c r="K57" i="4"/>
  <c r="K48" i="4"/>
  <c r="K34" i="4"/>
  <c r="K27" i="4"/>
  <c r="L20" i="4"/>
  <c r="L13" i="4"/>
  <c r="K6" i="4"/>
  <c r="K79" i="5"/>
  <c r="K71" i="5"/>
  <c r="K63" i="5"/>
  <c r="K55" i="5"/>
  <c r="K47" i="5"/>
  <c r="L38" i="5"/>
  <c r="K27" i="5"/>
  <c r="K16" i="5"/>
  <c r="L6" i="5"/>
  <c r="K76" i="6"/>
  <c r="K64" i="6"/>
  <c r="K48" i="6"/>
  <c r="K29" i="6"/>
  <c r="I46" i="10"/>
  <c r="I32" i="10"/>
  <c r="I17" i="10"/>
  <c r="I45" i="10"/>
  <c r="I42" i="10"/>
  <c r="I40" i="10"/>
  <c r="I36" i="10"/>
  <c r="I31" i="10"/>
  <c r="I30" i="10"/>
  <c r="I27" i="10"/>
  <c r="I25" i="10"/>
  <c r="I21" i="10"/>
  <c r="I16" i="10"/>
  <c r="I15" i="10"/>
  <c r="I12" i="10"/>
  <c r="I10" i="10"/>
  <c r="I6" i="10"/>
  <c r="I2" i="10"/>
  <c r="I28" i="6"/>
  <c r="I24" i="6"/>
  <c r="I16" i="6"/>
  <c r="I9" i="6"/>
  <c r="I4" i="6"/>
  <c r="I43" i="9"/>
  <c r="I40" i="9"/>
  <c r="I38" i="9"/>
  <c r="I34" i="9"/>
  <c r="I30" i="9"/>
  <c r="I29" i="9"/>
  <c r="I26" i="9"/>
  <c r="I24" i="9"/>
  <c r="I20" i="9"/>
  <c r="I16" i="9"/>
  <c r="I15" i="9"/>
  <c r="I12" i="9"/>
  <c r="I10" i="9"/>
  <c r="I6" i="9"/>
  <c r="I2" i="9"/>
  <c r="I81" i="5"/>
  <c r="I76" i="5"/>
  <c r="I71" i="5"/>
  <c r="I68" i="5"/>
  <c r="I64" i="5"/>
  <c r="I61" i="5"/>
  <c r="I60" i="5"/>
  <c r="I59" i="5"/>
  <c r="I58" i="5"/>
  <c r="I56" i="5"/>
  <c r="I48" i="5"/>
  <c r="I44" i="5"/>
  <c r="I40" i="5"/>
  <c r="I36" i="5"/>
  <c r="I28" i="5"/>
  <c r="I24" i="5"/>
  <c r="I16" i="5"/>
  <c r="I9" i="5"/>
  <c r="I4" i="5"/>
  <c r="I61" i="4"/>
  <c r="I60" i="4"/>
  <c r="I59" i="4"/>
  <c r="I58" i="4"/>
  <c r="I81" i="4"/>
  <c r="I76" i="4"/>
  <c r="I71" i="4"/>
  <c r="I68" i="4"/>
  <c r="I64" i="4"/>
  <c r="I56" i="4"/>
  <c r="I47" i="4"/>
  <c r="I44" i="4"/>
  <c r="I40" i="4"/>
  <c r="I36" i="4"/>
  <c r="I27" i="4"/>
  <c r="I24" i="4"/>
  <c r="I16" i="4"/>
  <c r="I9" i="4"/>
  <c r="I4" i="4"/>
  <c r="I81" i="1"/>
  <c r="I76" i="1"/>
  <c r="I71" i="1"/>
  <c r="I68" i="1"/>
  <c r="I64" i="1"/>
  <c r="I57" i="1"/>
  <c r="I56" i="1"/>
  <c r="I48" i="1"/>
  <c r="I44" i="1"/>
  <c r="I40" i="1"/>
  <c r="I36" i="1"/>
  <c r="I28" i="1"/>
  <c r="I24" i="1"/>
  <c r="I16" i="1"/>
  <c r="I9" i="1"/>
  <c r="I4" i="1"/>
  <c r="E16" i="10"/>
  <c r="E31" i="10"/>
  <c r="E46" i="10"/>
  <c r="E61" i="10"/>
  <c r="G43" i="10"/>
  <c r="G42" i="10"/>
  <c r="G39" i="10"/>
  <c r="G38" i="10"/>
  <c r="G36" i="10"/>
  <c r="G35" i="10"/>
  <c r="G34" i="10"/>
  <c r="G28" i="10"/>
  <c r="G27" i="10"/>
  <c r="G24" i="10"/>
  <c r="G23" i="10"/>
  <c r="G21" i="10"/>
  <c r="G20" i="10"/>
  <c r="G19" i="10"/>
  <c r="G11" i="10"/>
  <c r="G10" i="10"/>
  <c r="G9" i="10"/>
  <c r="G8" i="10"/>
  <c r="G6" i="10"/>
  <c r="G5" i="10"/>
  <c r="G4" i="10"/>
  <c r="E60" i="10"/>
  <c r="E58" i="10"/>
  <c r="C58" i="10"/>
  <c r="B59" i="10" s="1"/>
  <c r="C59" i="10" s="1"/>
  <c r="B60" i="10" s="1"/>
  <c r="C60" i="10" s="1"/>
  <c r="E57" i="10"/>
  <c r="E56" i="10"/>
  <c r="E55" i="10"/>
  <c r="E54" i="10"/>
  <c r="E53" i="10"/>
  <c r="E52" i="10"/>
  <c r="E51" i="10"/>
  <c r="E50" i="10"/>
  <c r="E49" i="10"/>
  <c r="E48" i="10"/>
  <c r="E47" i="10"/>
  <c r="C47" i="10"/>
  <c r="B48" i="10" s="1"/>
  <c r="C48" i="10" s="1"/>
  <c r="B49" i="10" s="1"/>
  <c r="C49" i="10" s="1"/>
  <c r="B50" i="10" s="1"/>
  <c r="C50" i="10" s="1"/>
  <c r="B51" i="10" s="1"/>
  <c r="C51" i="10" s="1"/>
  <c r="B52" i="10" s="1"/>
  <c r="C52" i="10" s="1"/>
  <c r="B53" i="10" s="1"/>
  <c r="C53" i="10" s="1"/>
  <c r="B54" i="10" s="1"/>
  <c r="C54" i="10" s="1"/>
  <c r="B55" i="10" s="1"/>
  <c r="C55" i="10" s="1"/>
  <c r="B56" i="10" s="1"/>
  <c r="C56" i="10" s="1"/>
  <c r="B57" i="10" s="1"/>
  <c r="C57" i="10" s="1"/>
  <c r="B58" i="10" s="1"/>
  <c r="E45" i="10"/>
  <c r="E44" i="10"/>
  <c r="E43" i="10"/>
  <c r="C43" i="10"/>
  <c r="B44" i="10" s="1"/>
  <c r="C44" i="10" s="1"/>
  <c r="B45" i="10" s="1"/>
  <c r="C45" i="10" s="1"/>
  <c r="E42" i="10"/>
  <c r="E41" i="10"/>
  <c r="E40" i="10"/>
  <c r="E39" i="10"/>
  <c r="E38" i="10"/>
  <c r="E37" i="10"/>
  <c r="E36" i="10"/>
  <c r="E35" i="10"/>
  <c r="E34" i="10"/>
  <c r="E33" i="10"/>
  <c r="E32" i="10"/>
  <c r="C32" i="10"/>
  <c r="B33" i="10" s="1"/>
  <c r="C33" i="10" s="1"/>
  <c r="B34" i="10" s="1"/>
  <c r="C34" i="10" s="1"/>
  <c r="B35" i="10" s="1"/>
  <c r="C35" i="10" s="1"/>
  <c r="B36" i="10" s="1"/>
  <c r="C36" i="10" s="1"/>
  <c r="B37" i="10" s="1"/>
  <c r="C37" i="10" s="1"/>
  <c r="B38" i="10" s="1"/>
  <c r="C38" i="10" s="1"/>
  <c r="B39" i="10" s="1"/>
  <c r="C39" i="10" s="1"/>
  <c r="B40" i="10" s="1"/>
  <c r="C40" i="10" s="1"/>
  <c r="B41" i="10" s="1"/>
  <c r="C41" i="10" s="1"/>
  <c r="B42" i="10" s="1"/>
  <c r="C42" i="10" s="1"/>
  <c r="B43" i="10" s="1"/>
  <c r="E30" i="10"/>
  <c r="E29" i="10"/>
  <c r="E28" i="10"/>
  <c r="C28" i="10"/>
  <c r="B29" i="10" s="1"/>
  <c r="C29" i="10" s="1"/>
  <c r="B30" i="10" s="1"/>
  <c r="C30" i="10" s="1"/>
  <c r="E27" i="10"/>
  <c r="E26" i="10"/>
  <c r="E25" i="10"/>
  <c r="E24" i="10"/>
  <c r="E23" i="10"/>
  <c r="E22" i="10"/>
  <c r="E21" i="10"/>
  <c r="E20" i="10"/>
  <c r="E19" i="10"/>
  <c r="E18" i="10"/>
  <c r="E17" i="10"/>
  <c r="C17" i="10"/>
  <c r="B18" i="10" s="1"/>
  <c r="C18" i="10" s="1"/>
  <c r="B19" i="10" s="1"/>
  <c r="C19" i="10" s="1"/>
  <c r="B20" i="10" s="1"/>
  <c r="C20" i="10" s="1"/>
  <c r="B21" i="10" s="1"/>
  <c r="C21" i="10" s="1"/>
  <c r="B22" i="10" s="1"/>
  <c r="C22" i="10" s="1"/>
  <c r="B23" i="10" s="1"/>
  <c r="C23" i="10" s="1"/>
  <c r="B24" i="10" s="1"/>
  <c r="C24" i="10" s="1"/>
  <c r="B25" i="10" s="1"/>
  <c r="C25" i="10" s="1"/>
  <c r="B26" i="10" s="1"/>
  <c r="C26" i="10" s="1"/>
  <c r="B27" i="10" s="1"/>
  <c r="C27" i="10" s="1"/>
  <c r="B28" i="10" s="1"/>
  <c r="E15" i="10"/>
  <c r="E14" i="10"/>
  <c r="E13" i="10"/>
  <c r="C13" i="10"/>
  <c r="B14" i="10" s="1"/>
  <c r="C14" i="10" s="1"/>
  <c r="B15" i="10" s="1"/>
  <c r="C15" i="10" s="1"/>
  <c r="E12" i="10"/>
  <c r="E11" i="10"/>
  <c r="E10" i="10"/>
  <c r="E9" i="10"/>
  <c r="T8" i="10"/>
  <c r="E8" i="10"/>
  <c r="AB7" i="10"/>
  <c r="AC7" i="10" s="1"/>
  <c r="T7" i="10"/>
  <c r="E7" i="10"/>
  <c r="AB6" i="10"/>
  <c r="AC6" i="10" s="1"/>
  <c r="T6" i="10"/>
  <c r="E6" i="10"/>
  <c r="AB5" i="10"/>
  <c r="AC5" i="10" s="1"/>
  <c r="T5" i="10"/>
  <c r="E5" i="10"/>
  <c r="AB4" i="10"/>
  <c r="AC4" i="10" s="1"/>
  <c r="T4" i="10"/>
  <c r="E4" i="10"/>
  <c r="AB3" i="10"/>
  <c r="AC3" i="10" s="1"/>
  <c r="T3" i="10"/>
  <c r="E3" i="10"/>
  <c r="Z2" i="10"/>
  <c r="T2" i="10"/>
  <c r="E2" i="10"/>
  <c r="C2" i="10"/>
  <c r="B3" i="10" s="1"/>
  <c r="C3" i="10" s="1"/>
  <c r="B4" i="10" s="1"/>
  <c r="C4" i="10" s="1"/>
  <c r="B5" i="10" s="1"/>
  <c r="C5" i="10" s="1"/>
  <c r="B6" i="10" s="1"/>
  <c r="C6" i="10" s="1"/>
  <c r="B7" i="10" s="1"/>
  <c r="C7" i="10" s="1"/>
  <c r="B8" i="10" s="1"/>
  <c r="C8" i="10" s="1"/>
  <c r="B9" i="10" s="1"/>
  <c r="C9" i="10" s="1"/>
  <c r="B10" i="10" s="1"/>
  <c r="C10" i="10" s="1"/>
  <c r="B11" i="10" s="1"/>
  <c r="C11" i="10" s="1"/>
  <c r="B12" i="10" s="1"/>
  <c r="C12" i="10" s="1"/>
  <c r="B13" i="10" s="1"/>
  <c r="C55" i="9"/>
  <c r="B56" i="9" s="1"/>
  <c r="C56" i="9" s="1"/>
  <c r="B57" i="9" s="1"/>
  <c r="C57" i="9" s="1"/>
  <c r="C41" i="9"/>
  <c r="B42" i="9" s="1"/>
  <c r="C42" i="9" s="1"/>
  <c r="B43" i="9" s="1"/>
  <c r="C43" i="9" s="1"/>
  <c r="C27" i="9"/>
  <c r="B28" i="9" s="1"/>
  <c r="C28" i="9" s="1"/>
  <c r="B29" i="9" s="1"/>
  <c r="C29" i="9" s="1"/>
  <c r="C13" i="9"/>
  <c r="B14" i="9" s="1"/>
  <c r="C14" i="9" s="1"/>
  <c r="B15" i="9" s="1"/>
  <c r="C15" i="9" s="1"/>
  <c r="E57" i="9"/>
  <c r="E43" i="9"/>
  <c r="E42" i="9"/>
  <c r="E29" i="9"/>
  <c r="E28" i="9"/>
  <c r="E15" i="9"/>
  <c r="E14" i="9"/>
  <c r="E55" i="9"/>
  <c r="E41" i="9"/>
  <c r="E27" i="9"/>
  <c r="E13" i="9"/>
  <c r="F12" i="9"/>
  <c r="G12" i="9" s="1"/>
  <c r="E54" i="9"/>
  <c r="E40" i="9"/>
  <c r="E26" i="9"/>
  <c r="E12" i="9"/>
  <c r="E53" i="9"/>
  <c r="E39" i="9"/>
  <c r="E25" i="9"/>
  <c r="E11" i="9"/>
  <c r="E3" i="9"/>
  <c r="E4" i="9"/>
  <c r="E5" i="9"/>
  <c r="E6" i="9"/>
  <c r="E7" i="9"/>
  <c r="E8" i="9"/>
  <c r="E9" i="9"/>
  <c r="E10" i="9"/>
  <c r="E16" i="9"/>
  <c r="E17" i="9"/>
  <c r="E18" i="9"/>
  <c r="E19" i="9"/>
  <c r="E20" i="9"/>
  <c r="E21" i="9"/>
  <c r="E22" i="9"/>
  <c r="E23" i="9"/>
  <c r="E24" i="9"/>
  <c r="E30" i="9"/>
  <c r="E31" i="9"/>
  <c r="E32" i="9"/>
  <c r="E33" i="9"/>
  <c r="E34" i="9"/>
  <c r="E35" i="9"/>
  <c r="E36" i="9"/>
  <c r="E37" i="9"/>
  <c r="E38" i="9"/>
  <c r="E44" i="9"/>
  <c r="E45" i="9"/>
  <c r="E46" i="9"/>
  <c r="E47" i="9"/>
  <c r="E48" i="9"/>
  <c r="E49" i="9"/>
  <c r="E50" i="9"/>
  <c r="E51" i="9"/>
  <c r="E52" i="9"/>
  <c r="E2" i="9"/>
  <c r="F70" i="7"/>
  <c r="F71" i="7"/>
  <c r="F72" i="7"/>
  <c r="F73" i="7"/>
  <c r="F74" i="7"/>
  <c r="F75" i="7"/>
  <c r="F76" i="7"/>
  <c r="F77" i="7"/>
  <c r="F78" i="7"/>
  <c r="F79" i="7"/>
  <c r="F80" i="7"/>
  <c r="F81" i="7"/>
  <c r="G10" i="9"/>
  <c r="G11" i="9"/>
  <c r="G13" i="9"/>
  <c r="G16" i="9"/>
  <c r="G17" i="9"/>
  <c r="G18" i="9"/>
  <c r="G19" i="9"/>
  <c r="G20" i="9"/>
  <c r="G21" i="9"/>
  <c r="G22" i="9"/>
  <c r="G23" i="9"/>
  <c r="G24" i="9"/>
  <c r="G25" i="9"/>
  <c r="G26" i="9"/>
  <c r="G27" i="9"/>
  <c r="G30" i="9"/>
  <c r="G31" i="9"/>
  <c r="G32" i="9"/>
  <c r="G33" i="9"/>
  <c r="G34" i="9"/>
  <c r="G35" i="9"/>
  <c r="G36" i="9"/>
  <c r="G37" i="9"/>
  <c r="G38" i="9"/>
  <c r="G39" i="9"/>
  <c r="G40" i="9"/>
  <c r="G41" i="9"/>
  <c r="G44" i="9"/>
  <c r="G45" i="9"/>
  <c r="G46" i="9"/>
  <c r="G47" i="9"/>
  <c r="G48" i="9"/>
  <c r="G49" i="9"/>
  <c r="G50" i="9"/>
  <c r="G51" i="9"/>
  <c r="G52" i="9"/>
  <c r="G53" i="9"/>
  <c r="G54" i="9"/>
  <c r="G55" i="9"/>
  <c r="G3" i="9"/>
  <c r="G4" i="9"/>
  <c r="G5" i="9"/>
  <c r="G6" i="9"/>
  <c r="G7" i="9"/>
  <c r="G8" i="9"/>
  <c r="G9" i="9"/>
  <c r="G2" i="9"/>
  <c r="E81" i="6"/>
  <c r="E80" i="6"/>
  <c r="E79" i="6"/>
  <c r="E78" i="6"/>
  <c r="E77" i="6"/>
  <c r="E76" i="6"/>
  <c r="E75" i="6"/>
  <c r="E74" i="6"/>
  <c r="E73" i="6"/>
  <c r="E81" i="5"/>
  <c r="E80" i="5"/>
  <c r="E79" i="5"/>
  <c r="E78" i="5"/>
  <c r="E77" i="5"/>
  <c r="E76" i="5"/>
  <c r="E75" i="5"/>
  <c r="E74" i="5"/>
  <c r="E73" i="5"/>
  <c r="E81" i="4"/>
  <c r="E80" i="4"/>
  <c r="E79" i="4"/>
  <c r="E78" i="4"/>
  <c r="E77" i="4"/>
  <c r="E76" i="4"/>
  <c r="E75" i="4"/>
  <c r="E74" i="4"/>
  <c r="E73" i="4"/>
  <c r="E81" i="1"/>
  <c r="E80" i="1"/>
  <c r="E79" i="1"/>
  <c r="E78" i="1"/>
  <c r="E77" i="1"/>
  <c r="E76" i="1"/>
  <c r="E75" i="1"/>
  <c r="E74" i="1"/>
  <c r="E73" i="1"/>
  <c r="E72" i="6"/>
  <c r="E71" i="6"/>
  <c r="E70" i="6"/>
  <c r="E69" i="6"/>
  <c r="E72" i="5"/>
  <c r="E71" i="5"/>
  <c r="E70" i="5"/>
  <c r="E69" i="5"/>
  <c r="E72" i="4"/>
  <c r="E71" i="4"/>
  <c r="E70" i="4"/>
  <c r="E69" i="4"/>
  <c r="E72" i="1"/>
  <c r="E71" i="1"/>
  <c r="E70" i="1"/>
  <c r="E69" i="1"/>
  <c r="T8" i="9"/>
  <c r="T7" i="9"/>
  <c r="AB5" i="9"/>
  <c r="AC5" i="9" s="1"/>
  <c r="AB6" i="9"/>
  <c r="AC6" i="9" s="1"/>
  <c r="AB7" i="9"/>
  <c r="AC7" i="9" s="1"/>
  <c r="AB4" i="9"/>
  <c r="AC4" i="9" s="1"/>
  <c r="AB3" i="9"/>
  <c r="AC3" i="9" s="1"/>
  <c r="Z2" i="9"/>
  <c r="C44" i="9"/>
  <c r="B45" i="9" s="1"/>
  <c r="C45" i="9" s="1"/>
  <c r="B46" i="9" s="1"/>
  <c r="C46" i="9" s="1"/>
  <c r="B47" i="9" s="1"/>
  <c r="C47" i="9" s="1"/>
  <c r="B48" i="9" s="1"/>
  <c r="C48" i="9" s="1"/>
  <c r="B49" i="9" s="1"/>
  <c r="C49" i="9" s="1"/>
  <c r="B50" i="9" s="1"/>
  <c r="C50" i="9" s="1"/>
  <c r="B51" i="9" s="1"/>
  <c r="C51" i="9" s="1"/>
  <c r="B52" i="9" s="1"/>
  <c r="C52" i="9" s="1"/>
  <c r="B53" i="9" s="1"/>
  <c r="C53" i="9" s="1"/>
  <c r="B54" i="9" s="1"/>
  <c r="C54" i="9" s="1"/>
  <c r="B55" i="9" s="1"/>
  <c r="C30" i="9"/>
  <c r="B31" i="9" s="1"/>
  <c r="C31" i="9" s="1"/>
  <c r="B32" i="9" s="1"/>
  <c r="C32" i="9" s="1"/>
  <c r="B33" i="9" s="1"/>
  <c r="C33" i="9" s="1"/>
  <c r="B34" i="9" s="1"/>
  <c r="C34" i="9" s="1"/>
  <c r="B35" i="9" s="1"/>
  <c r="C35" i="9" s="1"/>
  <c r="B36" i="9" s="1"/>
  <c r="C36" i="9" s="1"/>
  <c r="B37" i="9" s="1"/>
  <c r="C37" i="9" s="1"/>
  <c r="B38" i="9" s="1"/>
  <c r="C38" i="9" s="1"/>
  <c r="B39" i="9" s="1"/>
  <c r="C39" i="9" s="1"/>
  <c r="B40" i="9" s="1"/>
  <c r="C40" i="9" s="1"/>
  <c r="B41" i="9" s="1"/>
  <c r="C16" i="9"/>
  <c r="B17" i="9" s="1"/>
  <c r="C17" i="9" s="1"/>
  <c r="B18" i="9" s="1"/>
  <c r="C18" i="9" s="1"/>
  <c r="B19" i="9" s="1"/>
  <c r="C19" i="9" s="1"/>
  <c r="B20" i="9" s="1"/>
  <c r="C20" i="9" s="1"/>
  <c r="B21" i="9" s="1"/>
  <c r="C21" i="9" s="1"/>
  <c r="B22" i="9" s="1"/>
  <c r="C22" i="9" s="1"/>
  <c r="B23" i="9" s="1"/>
  <c r="C23" i="9" s="1"/>
  <c r="B24" i="9" s="1"/>
  <c r="C24" i="9" s="1"/>
  <c r="B25" i="9" s="1"/>
  <c r="C25" i="9" s="1"/>
  <c r="B26" i="9" s="1"/>
  <c r="C26" i="9" s="1"/>
  <c r="B27" i="9" s="1"/>
  <c r="C2" i="9"/>
  <c r="B3" i="9" s="1"/>
  <c r="C3" i="9" s="1"/>
  <c r="B4" i="9" s="1"/>
  <c r="C4" i="9" s="1"/>
  <c r="B5" i="9" s="1"/>
  <c r="C5" i="9" s="1"/>
  <c r="B6" i="9" s="1"/>
  <c r="C6" i="9" s="1"/>
  <c r="B7" i="9" s="1"/>
  <c r="C7" i="9" s="1"/>
  <c r="B8" i="9" s="1"/>
  <c r="C8" i="9" s="1"/>
  <c r="B9" i="9" s="1"/>
  <c r="C9" i="9" s="1"/>
  <c r="B10" i="9" s="1"/>
  <c r="C10" i="9" s="1"/>
  <c r="B11" i="9" s="1"/>
  <c r="C11" i="9" s="1"/>
  <c r="B12" i="9" s="1"/>
  <c r="C12" i="9" s="1"/>
  <c r="B13" i="9" s="1"/>
  <c r="T6" i="9"/>
  <c r="T5" i="9"/>
  <c r="T4" i="9"/>
  <c r="T3" i="9"/>
  <c r="T2" i="9"/>
  <c r="AB8" i="10" l="1"/>
  <c r="AB8" i="9"/>
  <c r="E68" i="6"/>
  <c r="E67" i="6"/>
  <c r="E66" i="6"/>
  <c r="E65" i="6"/>
  <c r="E68" i="5"/>
  <c r="E67" i="5"/>
  <c r="E66" i="5"/>
  <c r="E65" i="5"/>
  <c r="E68" i="4"/>
  <c r="E67" i="4"/>
  <c r="E66" i="4"/>
  <c r="E65" i="4"/>
  <c r="E65" i="1"/>
  <c r="E66" i="1"/>
  <c r="E67" i="1"/>
  <c r="E68" i="1"/>
  <c r="F60" i="7"/>
  <c r="F61" i="7"/>
  <c r="F62" i="7"/>
  <c r="F63" i="7"/>
  <c r="F64" i="7"/>
  <c r="F65" i="7"/>
  <c r="F66" i="7"/>
  <c r="F67" i="7"/>
  <c r="F68" i="7"/>
  <c r="F69" i="7"/>
  <c r="F59" i="7"/>
  <c r="F58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2" i="7"/>
  <c r="J12" i="7"/>
  <c r="J11" i="7"/>
  <c r="E64" i="1"/>
  <c r="E63" i="1"/>
  <c r="E62" i="1"/>
  <c r="E64" i="6"/>
  <c r="E62" i="6"/>
  <c r="E63" i="6"/>
  <c r="E60" i="6"/>
  <c r="E64" i="5"/>
  <c r="E63" i="5"/>
  <c r="E62" i="5"/>
  <c r="E61" i="5"/>
  <c r="E60" i="5"/>
  <c r="E59" i="5"/>
  <c r="E58" i="5"/>
  <c r="E64" i="4"/>
  <c r="E63" i="4"/>
  <c r="E62" i="4"/>
  <c r="E61" i="4"/>
  <c r="E60" i="4"/>
  <c r="E59" i="4"/>
  <c r="E58" i="4"/>
  <c r="J2" i="7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J3" i="7"/>
  <c r="J4" i="7"/>
  <c r="J5" i="7"/>
  <c r="J6" i="7"/>
  <c r="J7" i="7"/>
  <c r="J8" i="7"/>
  <c r="J9" i="7"/>
  <c r="E56" i="6"/>
  <c r="E55" i="6"/>
  <c r="E54" i="6"/>
  <c r="E53" i="6"/>
  <c r="E52" i="6"/>
  <c r="E51" i="6"/>
  <c r="E50" i="6"/>
  <c r="E49" i="6"/>
  <c r="E56" i="5"/>
  <c r="E55" i="5"/>
  <c r="E54" i="5"/>
  <c r="E53" i="5"/>
  <c r="E52" i="5"/>
  <c r="E51" i="5"/>
  <c r="E50" i="5"/>
  <c r="E49" i="5"/>
  <c r="E51" i="4"/>
  <c r="E52" i="4"/>
  <c r="E53" i="4"/>
  <c r="E54" i="4"/>
  <c r="E55" i="4"/>
  <c r="E56" i="4"/>
  <c r="E50" i="4"/>
  <c r="E56" i="1"/>
  <c r="E55" i="1"/>
  <c r="E54" i="1"/>
  <c r="E53" i="1"/>
  <c r="E52" i="1"/>
  <c r="E51" i="1"/>
  <c r="E50" i="1"/>
  <c r="E49" i="1"/>
  <c r="E48" i="6"/>
  <c r="E47" i="6"/>
  <c r="E46" i="6"/>
  <c r="E45" i="6"/>
  <c r="E44" i="6"/>
  <c r="E43" i="6"/>
  <c r="E42" i="6"/>
  <c r="E41" i="6"/>
  <c r="E48" i="5"/>
  <c r="E47" i="5"/>
  <c r="E45" i="5"/>
  <c r="E44" i="5"/>
  <c r="E43" i="5"/>
  <c r="E42" i="5"/>
  <c r="E41" i="5"/>
  <c r="E46" i="4"/>
  <c r="E45" i="4"/>
  <c r="E44" i="4"/>
  <c r="E43" i="4"/>
  <c r="E42" i="4"/>
  <c r="E41" i="4"/>
  <c r="E48" i="1"/>
  <c r="E47" i="1"/>
  <c r="E46" i="1"/>
  <c r="E45" i="1"/>
  <c r="E44" i="1"/>
  <c r="E43" i="1"/>
  <c r="E42" i="1"/>
  <c r="E41" i="1"/>
  <c r="E40" i="5"/>
  <c r="E39" i="5"/>
  <c r="E38" i="5"/>
  <c r="E37" i="5"/>
  <c r="E36" i="5"/>
  <c r="E35" i="5"/>
  <c r="E40" i="6"/>
  <c r="E39" i="6"/>
  <c r="E38" i="6"/>
  <c r="E37" i="6"/>
  <c r="E36" i="6"/>
  <c r="E35" i="6"/>
  <c r="E34" i="6"/>
  <c r="E40" i="4"/>
  <c r="E39" i="4"/>
  <c r="E38" i="4"/>
  <c r="E37" i="4"/>
  <c r="E40" i="1"/>
  <c r="E39" i="1"/>
  <c r="E38" i="1"/>
  <c r="E37" i="1"/>
  <c r="E36" i="1"/>
  <c r="E35" i="1"/>
  <c r="E34" i="1"/>
  <c r="E36" i="4"/>
  <c r="E35" i="4"/>
  <c r="E34" i="4"/>
  <c r="E32" i="4"/>
  <c r="E31" i="4"/>
  <c r="E30" i="4"/>
  <c r="E29" i="4"/>
  <c r="E27" i="4"/>
  <c r="E32" i="6"/>
  <c r="E31" i="6"/>
  <c r="E30" i="6"/>
  <c r="E29" i="6"/>
  <c r="E32" i="5"/>
  <c r="E31" i="5"/>
  <c r="E30" i="5"/>
  <c r="E29" i="5"/>
  <c r="E32" i="1"/>
  <c r="E31" i="1"/>
  <c r="E30" i="1"/>
  <c r="E29" i="1"/>
  <c r="G3" i="8"/>
  <c r="G4" i="8"/>
  <c r="G5" i="8"/>
  <c r="G6" i="8"/>
  <c r="G7" i="8"/>
  <c r="G8" i="8"/>
  <c r="G9" i="8"/>
  <c r="G10" i="8"/>
  <c r="G11" i="8"/>
  <c r="G12" i="8"/>
  <c r="G13" i="8"/>
  <c r="G2" i="8"/>
  <c r="K12" i="8"/>
  <c r="K11" i="8"/>
  <c r="M8" i="8"/>
  <c r="M2" i="8"/>
  <c r="M3" i="8"/>
  <c r="M4" i="8"/>
  <c r="M5" i="8"/>
  <c r="M6" i="8"/>
  <c r="M7" i="8"/>
  <c r="E28" i="6"/>
  <c r="E27" i="6"/>
  <c r="E26" i="6"/>
  <c r="E25" i="6"/>
  <c r="E28" i="5"/>
  <c r="E27" i="5"/>
  <c r="E26" i="5"/>
  <c r="E25" i="5"/>
  <c r="E26" i="4"/>
  <c r="E25" i="4"/>
  <c r="E28" i="1"/>
  <c r="E27" i="1"/>
  <c r="E26" i="1"/>
  <c r="E25" i="1"/>
  <c r="C13" i="7"/>
  <c r="C12" i="7"/>
  <c r="C11" i="7"/>
  <c r="C10" i="7"/>
  <c r="C9" i="7"/>
  <c r="C8" i="7"/>
  <c r="C7" i="7"/>
  <c r="C6" i="7"/>
  <c r="C5" i="7"/>
  <c r="C4" i="7"/>
  <c r="C3" i="7"/>
  <c r="C2" i="7"/>
  <c r="E18" i="6"/>
  <c r="E19" i="6"/>
  <c r="E20" i="6"/>
  <c r="E21" i="6"/>
  <c r="E22" i="6"/>
  <c r="E23" i="6"/>
  <c r="E24" i="6"/>
  <c r="E18" i="1"/>
  <c r="E19" i="1"/>
  <c r="E20" i="1"/>
  <c r="E21" i="1"/>
  <c r="E22" i="1"/>
  <c r="E23" i="1"/>
  <c r="E24" i="1"/>
  <c r="E18" i="4"/>
  <c r="E19" i="4"/>
  <c r="E20" i="4"/>
  <c r="E21" i="4"/>
  <c r="E22" i="4"/>
  <c r="E23" i="4"/>
  <c r="E24" i="4"/>
  <c r="E18" i="5"/>
  <c r="E19" i="5"/>
  <c r="E20" i="5"/>
  <c r="E21" i="5"/>
  <c r="E22" i="5"/>
  <c r="E23" i="5"/>
  <c r="E24" i="5"/>
  <c r="C2" i="4"/>
  <c r="B3" i="4" s="1"/>
  <c r="C3" i="4" s="1"/>
  <c r="B4" i="4" s="1"/>
  <c r="C4" i="4" s="1"/>
  <c r="B5" i="4" s="1"/>
  <c r="C5" i="4" s="1"/>
  <c r="B6" i="4" s="1"/>
  <c r="C6" i="4" s="1"/>
  <c r="B7" i="4" s="1"/>
  <c r="C7" i="4" s="1"/>
  <c r="B8" i="4" s="1"/>
  <c r="C8" i="4" s="1"/>
  <c r="B9" i="4" s="1"/>
  <c r="C9" i="4" s="1"/>
  <c r="B10" i="4" s="1"/>
  <c r="C10" i="4" s="1"/>
  <c r="B11" i="4" s="1"/>
  <c r="C11" i="4" s="1"/>
  <c r="B12" i="4" s="1"/>
  <c r="C12" i="4" s="1"/>
  <c r="B13" i="4" s="1"/>
  <c r="C13" i="4" s="1"/>
  <c r="B14" i="4" s="1"/>
  <c r="C14" i="4" s="1"/>
  <c r="B15" i="4" s="1"/>
  <c r="C15" i="4" s="1"/>
  <c r="B16" i="4" s="1"/>
  <c r="C16" i="4" s="1"/>
  <c r="B17" i="4" s="1"/>
  <c r="C17" i="4" s="1"/>
  <c r="B18" i="4" s="1"/>
  <c r="C18" i="4" s="1"/>
  <c r="B19" i="4" s="1"/>
  <c r="C19" i="4" s="1"/>
  <c r="B20" i="4" s="1"/>
  <c r="C20" i="4" s="1"/>
  <c r="B21" i="4" s="1"/>
  <c r="C21" i="4" s="1"/>
  <c r="B22" i="4" s="1"/>
  <c r="C22" i="4" s="1"/>
  <c r="B23" i="4" s="1"/>
  <c r="C23" i="4" s="1"/>
  <c r="B24" i="4" s="1"/>
  <c r="C24" i="4" s="1"/>
  <c r="B25" i="4" s="1"/>
  <c r="C25" i="4" s="1"/>
  <c r="B26" i="4" s="1"/>
  <c r="C26" i="4" s="1"/>
  <c r="B27" i="4" s="1"/>
  <c r="C27" i="4" s="1"/>
  <c r="B28" i="4" s="1"/>
  <c r="C28" i="4" s="1"/>
  <c r="B29" i="4" s="1"/>
  <c r="C29" i="4" s="1"/>
  <c r="B30" i="4" s="1"/>
  <c r="C30" i="4" s="1"/>
  <c r="B31" i="4" s="1"/>
  <c r="C31" i="4" s="1"/>
  <c r="B32" i="4" s="1"/>
  <c r="C32" i="4" s="1"/>
  <c r="B33" i="4" s="1"/>
  <c r="C33" i="4" s="1"/>
  <c r="B34" i="4" s="1"/>
  <c r="C34" i="4" s="1"/>
  <c r="B35" i="4" s="1"/>
  <c r="C35" i="4" s="1"/>
  <c r="B36" i="4" s="1"/>
  <c r="C36" i="4" s="1"/>
  <c r="B37" i="4" s="1"/>
  <c r="C37" i="4" s="1"/>
  <c r="B38" i="4" s="1"/>
  <c r="C38" i="4" s="1"/>
  <c r="B39" i="4" s="1"/>
  <c r="C39" i="4" s="1"/>
  <c r="B40" i="4" s="1"/>
  <c r="C40" i="4" s="1"/>
  <c r="B41" i="4" s="1"/>
  <c r="C41" i="4" s="1"/>
  <c r="B42" i="4" s="1"/>
  <c r="C42" i="4" s="1"/>
  <c r="B43" i="4" s="1"/>
  <c r="C43" i="4" s="1"/>
  <c r="B44" i="4" s="1"/>
  <c r="C44" i="4" s="1"/>
  <c r="B45" i="4" s="1"/>
  <c r="C45" i="4" s="1"/>
  <c r="B46" i="4" s="1"/>
  <c r="C46" i="4" s="1"/>
  <c r="B47" i="4" s="1"/>
  <c r="C47" i="4" s="1"/>
  <c r="B48" i="4" s="1"/>
  <c r="C48" i="4" s="1"/>
  <c r="B49" i="4" s="1"/>
  <c r="C49" i="4" s="1"/>
  <c r="B50" i="4" s="1"/>
  <c r="C50" i="4" s="1"/>
  <c r="B51" i="4" s="1"/>
  <c r="C51" i="4" s="1"/>
  <c r="B52" i="4" s="1"/>
  <c r="C52" i="4" s="1"/>
  <c r="B53" i="4" s="1"/>
  <c r="C53" i="4" s="1"/>
  <c r="B54" i="4" s="1"/>
  <c r="C54" i="4" s="1"/>
  <c r="B55" i="4" s="1"/>
  <c r="C55" i="4" s="1"/>
  <c r="B56" i="4" s="1"/>
  <c r="C56" i="4" s="1"/>
  <c r="B57" i="4" s="1"/>
  <c r="C57" i="4" s="1"/>
  <c r="B58" i="4" s="1"/>
  <c r="C58" i="4" s="1"/>
  <c r="B59" i="4" s="1"/>
  <c r="C59" i="4" s="1"/>
  <c r="B60" i="4" s="1"/>
  <c r="C60" i="4" s="1"/>
  <c r="B61" i="4" s="1"/>
  <c r="C61" i="4" s="1"/>
  <c r="B62" i="4" s="1"/>
  <c r="C62" i="4" s="1"/>
  <c r="B63" i="4" s="1"/>
  <c r="C63" i="4" s="1"/>
  <c r="B64" i="4" s="1"/>
  <c r="C64" i="4" s="1"/>
  <c r="B65" i="4" s="1"/>
  <c r="C65" i="4" s="1"/>
  <c r="B66" i="4" s="1"/>
  <c r="C66" i="4" s="1"/>
  <c r="B67" i="4" s="1"/>
  <c r="C67" i="4" s="1"/>
  <c r="B68" i="4" s="1"/>
  <c r="C68" i="4" s="1"/>
  <c r="B69" i="4" s="1"/>
  <c r="C69" i="4" s="1"/>
  <c r="B70" i="4" s="1"/>
  <c r="C70" i="4" s="1"/>
  <c r="B71" i="4" s="1"/>
  <c r="C71" i="4" s="1"/>
  <c r="B72" i="4" s="1"/>
  <c r="C72" i="4" s="1"/>
  <c r="B73" i="4" s="1"/>
  <c r="C73" i="4" s="1"/>
  <c r="B74" i="4" s="1"/>
  <c r="C74" i="4" s="1"/>
  <c r="B75" i="4" s="1"/>
  <c r="C75" i="4" s="1"/>
  <c r="B76" i="4" s="1"/>
  <c r="C76" i="4" s="1"/>
  <c r="B77" i="4" s="1"/>
  <c r="C77" i="4" s="1"/>
  <c r="B78" i="4" s="1"/>
  <c r="C78" i="4" s="1"/>
  <c r="B79" i="4" s="1"/>
  <c r="C79" i="4" s="1"/>
  <c r="B80" i="4" s="1"/>
  <c r="C80" i="4" s="1"/>
  <c r="B81" i="4" s="1"/>
  <c r="C81" i="4" s="1"/>
  <c r="B82" i="4" s="1"/>
  <c r="C82" i="4" s="1"/>
  <c r="E16" i="6"/>
  <c r="E15" i="6"/>
  <c r="E14" i="6"/>
  <c r="E13" i="6"/>
  <c r="E12" i="6"/>
  <c r="E11" i="6"/>
  <c r="E10" i="6"/>
  <c r="E8" i="6"/>
  <c r="E7" i="6"/>
  <c r="E6" i="6"/>
  <c r="E5" i="6"/>
  <c r="E4" i="6"/>
  <c r="E3" i="6"/>
  <c r="E2" i="6"/>
  <c r="E16" i="5"/>
  <c r="E15" i="5"/>
  <c r="E14" i="5"/>
  <c r="E13" i="5"/>
  <c r="E12" i="5"/>
  <c r="E11" i="5"/>
  <c r="E10" i="5"/>
  <c r="E8" i="5"/>
  <c r="E7" i="5"/>
  <c r="E6" i="5"/>
  <c r="E5" i="5"/>
  <c r="E4" i="5"/>
  <c r="E3" i="5"/>
  <c r="E2" i="5"/>
  <c r="E16" i="4"/>
  <c r="E15" i="4"/>
  <c r="E14" i="4"/>
  <c r="E13" i="4"/>
  <c r="E12" i="4"/>
  <c r="E11" i="4"/>
  <c r="E10" i="4"/>
  <c r="E8" i="4"/>
  <c r="E7" i="4"/>
  <c r="E6" i="4"/>
  <c r="E5" i="4"/>
  <c r="E4" i="4"/>
  <c r="E3" i="4"/>
  <c r="E2" i="4"/>
  <c r="E10" i="1"/>
  <c r="E11" i="1"/>
  <c r="E12" i="1"/>
  <c r="E13" i="1"/>
  <c r="E14" i="1"/>
  <c r="E15" i="1"/>
  <c r="E16" i="1"/>
  <c r="E5" i="1"/>
  <c r="C2" i="1"/>
  <c r="B3" i="1" s="1"/>
  <c r="C3" i="1" s="1"/>
  <c r="B4" i="1" s="1"/>
  <c r="C4" i="1" s="1"/>
  <c r="B5" i="1" s="1"/>
  <c r="C5" i="1" s="1"/>
  <c r="B6" i="1" s="1"/>
  <c r="C6" i="1" s="1"/>
  <c r="B7" i="1" s="1"/>
  <c r="C7" i="1" s="1"/>
  <c r="B8" i="1" s="1"/>
  <c r="C8" i="1" s="1"/>
  <c r="B9" i="1" s="1"/>
  <c r="C9" i="1" s="1"/>
  <c r="B10" i="1" s="1"/>
  <c r="C10" i="1" s="1"/>
  <c r="B11" i="1" s="1"/>
  <c r="C11" i="1" s="1"/>
  <c r="B12" i="1" s="1"/>
  <c r="C12" i="1" s="1"/>
  <c r="B13" i="1" s="1"/>
  <c r="C13" i="1" s="1"/>
  <c r="B14" i="1" s="1"/>
  <c r="C14" i="1" s="1"/>
  <c r="B15" i="1" s="1"/>
  <c r="C15" i="1" s="1"/>
  <c r="B16" i="1" s="1"/>
  <c r="C16" i="1" s="1"/>
  <c r="B17" i="1" s="1"/>
  <c r="C17" i="1" s="1"/>
  <c r="B18" i="1" s="1"/>
  <c r="C18" i="1" s="1"/>
  <c r="B19" i="1" s="1"/>
  <c r="C19" i="1" s="1"/>
  <c r="B20" i="1" s="1"/>
  <c r="C20" i="1" s="1"/>
  <c r="B21" i="1" s="1"/>
  <c r="C21" i="1" s="1"/>
  <c r="B22" i="1" s="1"/>
  <c r="C22" i="1" s="1"/>
  <c r="B23" i="1" s="1"/>
  <c r="C23" i="1" s="1"/>
  <c r="B24" i="1" s="1"/>
  <c r="C24" i="1" s="1"/>
  <c r="B25" i="1" s="1"/>
  <c r="C25" i="1" s="1"/>
  <c r="B26" i="1" s="1"/>
  <c r="C26" i="1" s="1"/>
  <c r="B27" i="1" s="1"/>
  <c r="C27" i="1" s="1"/>
  <c r="B28" i="1" s="1"/>
  <c r="C28" i="1" s="1"/>
  <c r="B29" i="1" s="1"/>
  <c r="C29" i="1" s="1"/>
  <c r="B30" i="1" s="1"/>
  <c r="C30" i="1" s="1"/>
  <c r="B31" i="1" s="1"/>
  <c r="C31" i="1" s="1"/>
  <c r="B32" i="1" s="1"/>
  <c r="C32" i="1" s="1"/>
  <c r="B33" i="1" s="1"/>
  <c r="C33" i="1" s="1"/>
  <c r="B34" i="1" s="1"/>
  <c r="C34" i="1" s="1"/>
  <c r="B35" i="1" s="1"/>
  <c r="C35" i="1" s="1"/>
  <c r="B36" i="1" s="1"/>
  <c r="C36" i="1" s="1"/>
  <c r="B37" i="1" s="1"/>
  <c r="C37" i="1" s="1"/>
  <c r="B38" i="1" s="1"/>
  <c r="C38" i="1" s="1"/>
  <c r="B39" i="1" s="1"/>
  <c r="C39" i="1" s="1"/>
  <c r="B40" i="1" s="1"/>
  <c r="C40" i="1" s="1"/>
  <c r="B41" i="1" s="1"/>
  <c r="C41" i="1" s="1"/>
  <c r="B42" i="1" s="1"/>
  <c r="C42" i="1" s="1"/>
  <c r="B43" i="1" s="1"/>
  <c r="C43" i="1" s="1"/>
  <c r="B44" i="1" s="1"/>
  <c r="C44" i="1" s="1"/>
  <c r="B45" i="1" s="1"/>
  <c r="C45" i="1" s="1"/>
  <c r="B46" i="1" s="1"/>
  <c r="C46" i="1" s="1"/>
  <c r="B47" i="1" s="1"/>
  <c r="C47" i="1" s="1"/>
  <c r="B48" i="1" s="1"/>
  <c r="C48" i="1" s="1"/>
  <c r="B49" i="1" s="1"/>
  <c r="C49" i="1" s="1"/>
  <c r="B50" i="1" s="1"/>
  <c r="C50" i="1" s="1"/>
  <c r="B51" i="1" s="1"/>
  <c r="C51" i="1" s="1"/>
  <c r="B52" i="1" s="1"/>
  <c r="C52" i="1" s="1"/>
  <c r="B53" i="1" s="1"/>
  <c r="C53" i="1" s="1"/>
  <c r="B54" i="1" s="1"/>
  <c r="C54" i="1" s="1"/>
  <c r="B55" i="1" s="1"/>
  <c r="C55" i="1" s="1"/>
  <c r="B56" i="1" s="1"/>
  <c r="C56" i="1" s="1"/>
  <c r="B57" i="1" s="1"/>
  <c r="C57" i="1" s="1"/>
  <c r="B58" i="1" s="1"/>
  <c r="C58" i="1" s="1"/>
  <c r="B59" i="1" s="1"/>
  <c r="C59" i="1" s="1"/>
  <c r="B60" i="1" s="1"/>
  <c r="C60" i="1" s="1"/>
  <c r="B61" i="1" s="1"/>
  <c r="C61" i="1" s="1"/>
  <c r="B62" i="1" s="1"/>
  <c r="C62" i="1" s="1"/>
  <c r="B63" i="1" s="1"/>
  <c r="C63" i="1" s="1"/>
  <c r="B64" i="1" s="1"/>
  <c r="C64" i="1" s="1"/>
  <c r="B65" i="1" s="1"/>
  <c r="C65" i="1" s="1"/>
  <c r="B66" i="1" s="1"/>
  <c r="C66" i="1" s="1"/>
  <c r="B67" i="1" s="1"/>
  <c r="C67" i="1" s="1"/>
  <c r="B68" i="1" s="1"/>
  <c r="C68" i="1" s="1"/>
  <c r="B69" i="1" s="1"/>
  <c r="C69" i="1" s="1"/>
  <c r="B70" i="1" s="1"/>
  <c r="C70" i="1" s="1"/>
  <c r="B71" i="1" s="1"/>
  <c r="C71" i="1" s="1"/>
  <c r="B72" i="1" s="1"/>
  <c r="C72" i="1" s="1"/>
  <c r="B73" i="1" s="1"/>
  <c r="C73" i="1" s="1"/>
  <c r="B74" i="1" s="1"/>
  <c r="C74" i="1" s="1"/>
  <c r="B75" i="1" s="1"/>
  <c r="C75" i="1" s="1"/>
  <c r="B76" i="1" s="1"/>
  <c r="C76" i="1" s="1"/>
  <c r="B77" i="1" s="1"/>
  <c r="C77" i="1" s="1"/>
  <c r="B78" i="1" s="1"/>
  <c r="C78" i="1" s="1"/>
  <c r="B79" i="1" s="1"/>
  <c r="C79" i="1" s="1"/>
  <c r="B80" i="1" s="1"/>
  <c r="C80" i="1" s="1"/>
  <c r="B81" i="1" s="1"/>
  <c r="C81" i="1" s="1"/>
  <c r="B82" i="1" s="1"/>
  <c r="C82" i="1" s="1"/>
  <c r="C2" i="5"/>
  <c r="B3" i="5" s="1"/>
  <c r="C3" i="5" s="1"/>
  <c r="B4" i="5" s="1"/>
  <c r="C4" i="5" s="1"/>
  <c r="B5" i="5" s="1"/>
  <c r="C5" i="5" s="1"/>
  <c r="B6" i="5" s="1"/>
  <c r="C6" i="5" s="1"/>
  <c r="B7" i="5" s="1"/>
  <c r="C7" i="5" s="1"/>
  <c r="B8" i="5" s="1"/>
  <c r="C8" i="5" s="1"/>
  <c r="B9" i="5" s="1"/>
  <c r="C9" i="5" s="1"/>
  <c r="B10" i="5" s="1"/>
  <c r="C10" i="5" s="1"/>
  <c r="B11" i="5" s="1"/>
  <c r="C11" i="5" s="1"/>
  <c r="B12" i="5" s="1"/>
  <c r="C12" i="5" s="1"/>
  <c r="B13" i="5" s="1"/>
  <c r="C13" i="5" s="1"/>
  <c r="B14" i="5" s="1"/>
  <c r="C14" i="5" s="1"/>
  <c r="B15" i="5" s="1"/>
  <c r="C15" i="5" s="1"/>
  <c r="B16" i="5" s="1"/>
  <c r="C16" i="5" s="1"/>
  <c r="B17" i="5" s="1"/>
  <c r="C17" i="5" s="1"/>
  <c r="B18" i="5" s="1"/>
  <c r="C18" i="5" s="1"/>
  <c r="B19" i="5" s="1"/>
  <c r="C19" i="5" s="1"/>
  <c r="B20" i="5" s="1"/>
  <c r="C20" i="5" s="1"/>
  <c r="B21" i="5" s="1"/>
  <c r="C21" i="5" s="1"/>
  <c r="B22" i="5" s="1"/>
  <c r="C22" i="5" s="1"/>
  <c r="B23" i="5" s="1"/>
  <c r="C23" i="5" s="1"/>
  <c r="B24" i="5" s="1"/>
  <c r="C24" i="5" s="1"/>
  <c r="B25" i="5" s="1"/>
  <c r="C25" i="5" s="1"/>
  <c r="B26" i="5" s="1"/>
  <c r="C26" i="5" s="1"/>
  <c r="B27" i="5" s="1"/>
  <c r="C27" i="5" s="1"/>
  <c r="B28" i="5" s="1"/>
  <c r="C28" i="5" s="1"/>
  <c r="B29" i="5" s="1"/>
  <c r="C29" i="5" s="1"/>
  <c r="B30" i="5" s="1"/>
  <c r="C30" i="5" s="1"/>
  <c r="B31" i="5" s="1"/>
  <c r="C31" i="5" s="1"/>
  <c r="B32" i="5" s="1"/>
  <c r="C32" i="5" s="1"/>
  <c r="B33" i="5" s="1"/>
  <c r="C33" i="5" s="1"/>
  <c r="B34" i="5" s="1"/>
  <c r="C34" i="5" s="1"/>
  <c r="B35" i="5" s="1"/>
  <c r="C35" i="5" s="1"/>
  <c r="B36" i="5" s="1"/>
  <c r="C36" i="5" s="1"/>
  <c r="B37" i="5" s="1"/>
  <c r="C37" i="5" s="1"/>
  <c r="B38" i="5" s="1"/>
  <c r="C38" i="5" s="1"/>
  <c r="B39" i="5" s="1"/>
  <c r="C39" i="5" s="1"/>
  <c r="B40" i="5" s="1"/>
  <c r="C40" i="5" s="1"/>
  <c r="B41" i="5" s="1"/>
  <c r="C41" i="5" s="1"/>
  <c r="B42" i="5" s="1"/>
  <c r="C42" i="5" s="1"/>
  <c r="B43" i="5" s="1"/>
  <c r="C43" i="5" s="1"/>
  <c r="B44" i="5" s="1"/>
  <c r="C44" i="5" s="1"/>
  <c r="B45" i="5" s="1"/>
  <c r="C45" i="5" s="1"/>
  <c r="B46" i="5" s="1"/>
  <c r="C46" i="5" s="1"/>
  <c r="B47" i="5" s="1"/>
  <c r="C47" i="5" s="1"/>
  <c r="B48" i="5" s="1"/>
  <c r="C48" i="5" s="1"/>
  <c r="B49" i="5" s="1"/>
  <c r="C49" i="5" s="1"/>
  <c r="B50" i="5" s="1"/>
  <c r="C50" i="5" s="1"/>
  <c r="B51" i="5" s="1"/>
  <c r="C51" i="5" s="1"/>
  <c r="B52" i="5" s="1"/>
  <c r="C52" i="5" s="1"/>
  <c r="B53" i="5" s="1"/>
  <c r="C53" i="5" s="1"/>
  <c r="B54" i="5" s="1"/>
  <c r="C54" i="5" s="1"/>
  <c r="B55" i="5" s="1"/>
  <c r="C55" i="5" s="1"/>
  <c r="B56" i="5" s="1"/>
  <c r="C56" i="5" s="1"/>
  <c r="B57" i="5" s="1"/>
  <c r="C57" i="5" s="1"/>
  <c r="B58" i="5" s="1"/>
  <c r="C58" i="5" s="1"/>
  <c r="B59" i="5" s="1"/>
  <c r="C59" i="5" s="1"/>
  <c r="B60" i="5" s="1"/>
  <c r="C60" i="5" s="1"/>
  <c r="B61" i="5" s="1"/>
  <c r="C61" i="5" s="1"/>
  <c r="B62" i="5" s="1"/>
  <c r="C62" i="5" s="1"/>
  <c r="B63" i="5" s="1"/>
  <c r="C63" i="5" s="1"/>
  <c r="B64" i="5" s="1"/>
  <c r="C64" i="5" s="1"/>
  <c r="B65" i="5" s="1"/>
  <c r="C65" i="5" s="1"/>
  <c r="B66" i="5" s="1"/>
  <c r="C66" i="5" s="1"/>
  <c r="B67" i="5" s="1"/>
  <c r="C67" i="5" s="1"/>
  <c r="B68" i="5" s="1"/>
  <c r="C68" i="5" s="1"/>
  <c r="B69" i="5" s="1"/>
  <c r="C69" i="5" s="1"/>
  <c r="B70" i="5" s="1"/>
  <c r="C70" i="5" s="1"/>
  <c r="B71" i="5" s="1"/>
  <c r="C71" i="5" s="1"/>
  <c r="B72" i="5" s="1"/>
  <c r="C72" i="5" s="1"/>
  <c r="B73" i="5" s="1"/>
  <c r="C73" i="5" s="1"/>
  <c r="B74" i="5" s="1"/>
  <c r="C74" i="5" s="1"/>
  <c r="B75" i="5" s="1"/>
  <c r="C75" i="5" s="1"/>
  <c r="B76" i="5" s="1"/>
  <c r="C76" i="5" s="1"/>
  <c r="B77" i="5" s="1"/>
  <c r="C77" i="5" s="1"/>
  <c r="B78" i="5" s="1"/>
  <c r="C78" i="5" s="1"/>
  <c r="B79" i="5" s="1"/>
  <c r="C79" i="5" s="1"/>
  <c r="B80" i="5" s="1"/>
  <c r="C80" i="5" s="1"/>
  <c r="B81" i="5" s="1"/>
  <c r="C81" i="5" s="1"/>
  <c r="B82" i="5" s="1"/>
  <c r="C82" i="5" s="1"/>
  <c r="C2" i="6"/>
  <c r="B3" i="6" s="1"/>
  <c r="C3" i="6" s="1"/>
  <c r="B4" i="6" s="1"/>
  <c r="C4" i="6" s="1"/>
  <c r="B5" i="6" s="1"/>
  <c r="C5" i="6" s="1"/>
  <c r="B6" i="6" s="1"/>
  <c r="C6" i="6" s="1"/>
  <c r="B7" i="6" s="1"/>
  <c r="C7" i="6" s="1"/>
  <c r="B8" i="6" s="1"/>
  <c r="C8" i="6" s="1"/>
  <c r="B9" i="6" s="1"/>
  <c r="C9" i="6" s="1"/>
  <c r="B10" i="6" s="1"/>
  <c r="C10" i="6" s="1"/>
  <c r="B11" i="6" s="1"/>
  <c r="C11" i="6" s="1"/>
  <c r="B12" i="6" s="1"/>
  <c r="C12" i="6" s="1"/>
  <c r="B13" i="6" s="1"/>
  <c r="C13" i="6" s="1"/>
  <c r="B14" i="6" s="1"/>
  <c r="C14" i="6" s="1"/>
  <c r="B15" i="6" s="1"/>
  <c r="C15" i="6" s="1"/>
  <c r="B16" i="6" s="1"/>
  <c r="C16" i="6" s="1"/>
  <c r="B17" i="6" s="1"/>
  <c r="C17" i="6" s="1"/>
  <c r="B18" i="6" s="1"/>
  <c r="C18" i="6" s="1"/>
  <c r="B19" i="6" s="1"/>
  <c r="C19" i="6" s="1"/>
  <c r="B20" i="6" s="1"/>
  <c r="C20" i="6" s="1"/>
  <c r="B21" i="6" s="1"/>
  <c r="C21" i="6" s="1"/>
  <c r="B22" i="6" s="1"/>
  <c r="C22" i="6" s="1"/>
  <c r="B23" i="6" s="1"/>
  <c r="C23" i="6" s="1"/>
  <c r="B24" i="6" s="1"/>
  <c r="C24" i="6" s="1"/>
  <c r="B25" i="6" s="1"/>
  <c r="C25" i="6" s="1"/>
  <c r="B26" i="6" s="1"/>
  <c r="C26" i="6" s="1"/>
  <c r="B27" i="6" s="1"/>
  <c r="C27" i="6" s="1"/>
  <c r="B28" i="6" s="1"/>
  <c r="C28" i="6" s="1"/>
  <c r="B29" i="6" s="1"/>
  <c r="C29" i="6" s="1"/>
  <c r="B30" i="6" s="1"/>
  <c r="C30" i="6" s="1"/>
  <c r="B31" i="6" s="1"/>
  <c r="C31" i="6" s="1"/>
  <c r="B32" i="6" s="1"/>
  <c r="C32" i="6" s="1"/>
  <c r="B33" i="6" s="1"/>
  <c r="C33" i="6" s="1"/>
  <c r="B34" i="6" s="1"/>
  <c r="C34" i="6" s="1"/>
  <c r="B35" i="6" s="1"/>
  <c r="C35" i="6" s="1"/>
  <c r="B36" i="6" s="1"/>
  <c r="C36" i="6" s="1"/>
  <c r="B37" i="6" s="1"/>
  <c r="C37" i="6" s="1"/>
  <c r="B38" i="6" s="1"/>
  <c r="C38" i="6" s="1"/>
  <c r="B39" i="6" s="1"/>
  <c r="C39" i="6" s="1"/>
  <c r="B40" i="6" s="1"/>
  <c r="C40" i="6" s="1"/>
  <c r="B41" i="6" s="1"/>
  <c r="C41" i="6" s="1"/>
  <c r="B42" i="6" s="1"/>
  <c r="C42" i="6" s="1"/>
  <c r="B43" i="6" s="1"/>
  <c r="C43" i="6" s="1"/>
  <c r="B44" i="6" s="1"/>
  <c r="C44" i="6" s="1"/>
  <c r="B45" i="6" s="1"/>
  <c r="C45" i="6" s="1"/>
  <c r="B46" i="6" s="1"/>
  <c r="C46" i="6" s="1"/>
  <c r="B47" i="6" s="1"/>
  <c r="C47" i="6" s="1"/>
  <c r="B48" i="6" s="1"/>
  <c r="C48" i="6" s="1"/>
  <c r="B49" i="6" s="1"/>
  <c r="C49" i="6" s="1"/>
  <c r="B50" i="6" s="1"/>
  <c r="C50" i="6" s="1"/>
  <c r="B51" i="6" s="1"/>
  <c r="C51" i="6" s="1"/>
  <c r="B52" i="6" s="1"/>
  <c r="C52" i="6" s="1"/>
  <c r="B53" i="6" s="1"/>
  <c r="C53" i="6" s="1"/>
  <c r="B54" i="6" s="1"/>
  <c r="C54" i="6" s="1"/>
  <c r="B55" i="6" s="1"/>
  <c r="C55" i="6" s="1"/>
  <c r="B56" i="6" s="1"/>
  <c r="C56" i="6" s="1"/>
  <c r="B57" i="6" s="1"/>
  <c r="C57" i="6" s="1"/>
  <c r="B58" i="6" s="1"/>
  <c r="C58" i="6" s="1"/>
  <c r="B59" i="6" s="1"/>
  <c r="C59" i="6" s="1"/>
  <c r="B60" i="6" s="1"/>
  <c r="C60" i="6" s="1"/>
  <c r="B61" i="6" s="1"/>
  <c r="C61" i="6" s="1"/>
  <c r="B62" i="6" s="1"/>
  <c r="C62" i="6" s="1"/>
  <c r="B63" i="6" s="1"/>
  <c r="C63" i="6" s="1"/>
  <c r="B64" i="6" s="1"/>
  <c r="C64" i="6" s="1"/>
  <c r="B65" i="6" s="1"/>
  <c r="C65" i="6" s="1"/>
  <c r="B66" i="6" s="1"/>
  <c r="C66" i="6" s="1"/>
  <c r="B67" i="6" s="1"/>
  <c r="C67" i="6" s="1"/>
  <c r="B68" i="6" s="1"/>
  <c r="C68" i="6" s="1"/>
  <c r="B69" i="6" s="1"/>
  <c r="C69" i="6" s="1"/>
  <c r="B70" i="6" s="1"/>
  <c r="C70" i="6" s="1"/>
  <c r="B71" i="6" s="1"/>
  <c r="C71" i="6" s="1"/>
  <c r="B72" i="6" s="1"/>
  <c r="C72" i="6" s="1"/>
  <c r="B73" i="6" s="1"/>
  <c r="C73" i="6" s="1"/>
  <c r="B74" i="6" s="1"/>
  <c r="C74" i="6" s="1"/>
  <c r="B75" i="6" s="1"/>
  <c r="C75" i="6" s="1"/>
  <c r="B76" i="6" s="1"/>
  <c r="C76" i="6" s="1"/>
  <c r="B77" i="6" s="1"/>
  <c r="C77" i="6" s="1"/>
  <c r="B78" i="6" s="1"/>
  <c r="C78" i="6" s="1"/>
  <c r="B79" i="6" s="1"/>
  <c r="C79" i="6" s="1"/>
  <c r="B80" i="6" s="1"/>
  <c r="C80" i="6" s="1"/>
  <c r="B81" i="6" s="1"/>
  <c r="C81" i="6" s="1"/>
  <c r="B82" i="6" s="1"/>
  <c r="C82" i="6" s="1"/>
  <c r="E8" i="1"/>
  <c r="E7" i="1"/>
  <c r="E6" i="1"/>
  <c r="E3" i="1"/>
  <c r="E4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<sst xmlns="http://schemas.openxmlformats.org/spreadsheetml/2006/main" count="984" uniqueCount="641">
  <si>
    <t>Sample</t>
  </si>
  <si>
    <t>time_in</t>
  </si>
  <si>
    <t>time_out</t>
  </si>
  <si>
    <t>volume</t>
  </si>
  <si>
    <t>flow_rate</t>
  </si>
  <si>
    <t>pH</t>
  </si>
  <si>
    <t>EC</t>
  </si>
  <si>
    <t>conc</t>
  </si>
  <si>
    <t>P1T1</t>
  </si>
  <si>
    <t>P1T2</t>
  </si>
  <si>
    <t>P1T3</t>
  </si>
  <si>
    <t>P2T1</t>
  </si>
  <si>
    <t>P2T2</t>
  </si>
  <si>
    <t>P2T3</t>
  </si>
  <si>
    <t>P3T1</t>
  </si>
  <si>
    <t>P3T2</t>
  </si>
  <si>
    <t>P3T3</t>
  </si>
  <si>
    <t>P4T1</t>
  </si>
  <si>
    <t>P4T2</t>
  </si>
  <si>
    <t>P4T3</t>
  </si>
  <si>
    <t>P1F1</t>
  </si>
  <si>
    <t>P2F1</t>
  </si>
  <si>
    <t>P3F1</t>
  </si>
  <si>
    <t>P4F1</t>
  </si>
  <si>
    <t>P1T4</t>
  </si>
  <si>
    <t>P1T5</t>
  </si>
  <si>
    <t>P1T6</t>
  </si>
  <si>
    <t>P1T7</t>
  </si>
  <si>
    <t>P1T8</t>
  </si>
  <si>
    <t>P2T4</t>
  </si>
  <si>
    <t>P2T5</t>
  </si>
  <si>
    <t>P2T6</t>
  </si>
  <si>
    <t>P2T7</t>
  </si>
  <si>
    <t>P2T8</t>
  </si>
  <si>
    <t>P3T4</t>
  </si>
  <si>
    <t>P3T5</t>
  </si>
  <si>
    <t>P3T6</t>
  </si>
  <si>
    <t>P3T7</t>
  </si>
  <si>
    <t>P3T8</t>
  </si>
  <si>
    <t>P4T4</t>
  </si>
  <si>
    <t>P4T5</t>
  </si>
  <si>
    <t>P4T6</t>
  </si>
  <si>
    <t>P4T7</t>
  </si>
  <si>
    <t>P4T8</t>
  </si>
  <si>
    <t>no2_mmol_L</t>
  </si>
  <si>
    <t>so4_mg_L</t>
  </si>
  <si>
    <t>no3_mg_L</t>
  </si>
  <si>
    <t>P1F2</t>
  </si>
  <si>
    <t>P2F2</t>
  </si>
  <si>
    <t>P3F2</t>
  </si>
  <si>
    <t>P4F2</t>
  </si>
  <si>
    <t>P1T9</t>
  </si>
  <si>
    <t>P1T10</t>
  </si>
  <si>
    <t>P1T11</t>
  </si>
  <si>
    <t>P1T12</t>
  </si>
  <si>
    <t>P1T13</t>
  </si>
  <si>
    <t>P1T14</t>
  </si>
  <si>
    <t>P1T15</t>
  </si>
  <si>
    <t>P1T16</t>
  </si>
  <si>
    <t>P1T17</t>
  </si>
  <si>
    <t>P1T18</t>
  </si>
  <si>
    <t>P1T19</t>
  </si>
  <si>
    <t>P1T20</t>
  </si>
  <si>
    <t>P1T21</t>
  </si>
  <si>
    <t>P1T22</t>
  </si>
  <si>
    <t>P1T23</t>
  </si>
  <si>
    <t>P1T24</t>
  </si>
  <si>
    <t>P1T25</t>
  </si>
  <si>
    <t>P1T26</t>
  </si>
  <si>
    <t>P1T27</t>
  </si>
  <si>
    <t>P1T28</t>
  </si>
  <si>
    <t>P1T29</t>
  </si>
  <si>
    <t>P1T30</t>
  </si>
  <si>
    <t>P1T31</t>
  </si>
  <si>
    <t>P1T32</t>
  </si>
  <si>
    <t>P1T33</t>
  </si>
  <si>
    <t>P1T34</t>
  </si>
  <si>
    <t>P1T35</t>
  </si>
  <si>
    <t>P2T9</t>
  </si>
  <si>
    <t>P2T10</t>
  </si>
  <si>
    <t>P2T11</t>
  </si>
  <si>
    <t>P2T12</t>
  </si>
  <si>
    <t>P2T13</t>
  </si>
  <si>
    <t>P2T14</t>
  </si>
  <si>
    <t>P2T15</t>
  </si>
  <si>
    <t>P2T16</t>
  </si>
  <si>
    <t>P2T17</t>
  </si>
  <si>
    <t>P2T18</t>
  </si>
  <si>
    <t>P2T19</t>
  </si>
  <si>
    <t>P2T20</t>
  </si>
  <si>
    <t>P2T21</t>
  </si>
  <si>
    <t>P2T22</t>
  </si>
  <si>
    <t>P2T23</t>
  </si>
  <si>
    <t>P2T24</t>
  </si>
  <si>
    <t>P2T25</t>
  </si>
  <si>
    <t>P2T26</t>
  </si>
  <si>
    <t>P2T27</t>
  </si>
  <si>
    <t>P2T28</t>
  </si>
  <si>
    <t>P2T29</t>
  </si>
  <si>
    <t>P2T30</t>
  </si>
  <si>
    <t>P2T31</t>
  </si>
  <si>
    <t>P2T32</t>
  </si>
  <si>
    <t>P2T33</t>
  </si>
  <si>
    <t>P2T34</t>
  </si>
  <si>
    <t>P2T35</t>
  </si>
  <si>
    <t>P3T9</t>
  </si>
  <si>
    <t>P3T10</t>
  </si>
  <si>
    <t>P3T11</t>
  </si>
  <si>
    <t>P3T12</t>
  </si>
  <si>
    <t>P3T13</t>
  </si>
  <si>
    <t>P3T14</t>
  </si>
  <si>
    <t>P3T15</t>
  </si>
  <si>
    <t>P3T16</t>
  </si>
  <si>
    <t>P3T17</t>
  </si>
  <si>
    <t>P3T18</t>
  </si>
  <si>
    <t>P3T19</t>
  </si>
  <si>
    <t>P3T20</t>
  </si>
  <si>
    <t>P3T21</t>
  </si>
  <si>
    <t>P3T22</t>
  </si>
  <si>
    <t>P3T23</t>
  </si>
  <si>
    <t>P3T24</t>
  </si>
  <si>
    <t>P3T25</t>
  </si>
  <si>
    <t>P3T26</t>
  </si>
  <si>
    <t>P3T27</t>
  </si>
  <si>
    <t>P3T28</t>
  </si>
  <si>
    <t>P3T29</t>
  </si>
  <si>
    <t>P3T30</t>
  </si>
  <si>
    <t>P3T31</t>
  </si>
  <si>
    <t>P3T32</t>
  </si>
  <si>
    <t>P3T33</t>
  </si>
  <si>
    <t>P3T34</t>
  </si>
  <si>
    <t>P3T35</t>
  </si>
  <si>
    <t>P4T9</t>
  </si>
  <si>
    <t>P4T10</t>
  </si>
  <si>
    <t>P4T11</t>
  </si>
  <si>
    <t>P4T12</t>
  </si>
  <si>
    <t>P4T13</t>
  </si>
  <si>
    <t>P4T14</t>
  </si>
  <si>
    <t>P4T15</t>
  </si>
  <si>
    <t>P4T16</t>
  </si>
  <si>
    <t>P4T17</t>
  </si>
  <si>
    <t>P4T18</t>
  </si>
  <si>
    <t>P4T19</t>
  </si>
  <si>
    <t>P4T20</t>
  </si>
  <si>
    <t>P4T21</t>
  </si>
  <si>
    <t>P4T22</t>
  </si>
  <si>
    <t>P4T23</t>
  </si>
  <si>
    <t>P4T24</t>
  </si>
  <si>
    <t>P4T25</t>
  </si>
  <si>
    <t>P4T26</t>
  </si>
  <si>
    <t>P4T27</t>
  </si>
  <si>
    <t>P4T28</t>
  </si>
  <si>
    <t>P4T29</t>
  </si>
  <si>
    <t>P4T30</t>
  </si>
  <si>
    <t>P4T31</t>
  </si>
  <si>
    <t>P4T32</t>
  </si>
  <si>
    <t>P4T33</t>
  </si>
  <si>
    <t>P4T34</t>
  </si>
  <si>
    <t>P4T35</t>
  </si>
  <si>
    <t>obs</t>
  </si>
  <si>
    <t>*new calibration of pH EC</t>
  </si>
  <si>
    <t>* volume sample interrupted because of Fe sampling</t>
  </si>
  <si>
    <t>date</t>
  </si>
  <si>
    <t>column/batch</t>
  </si>
  <si>
    <t>val1</t>
  </si>
  <si>
    <t>dil</t>
  </si>
  <si>
    <t>no2- [micromol/L]</t>
  </si>
  <si>
    <t>Standard</t>
  </si>
  <si>
    <t>Value 1</t>
  </si>
  <si>
    <t>Value 2</t>
  </si>
  <si>
    <t>Avg</t>
  </si>
  <si>
    <t>P1</t>
  </si>
  <si>
    <t>control</t>
  </si>
  <si>
    <t>19-20B</t>
  </si>
  <si>
    <t>13-14A</t>
  </si>
  <si>
    <t>13-14B</t>
  </si>
  <si>
    <t>17-18B</t>
  </si>
  <si>
    <t>16-17B</t>
  </si>
  <si>
    <t>17-18A</t>
  </si>
  <si>
    <t>18-19</t>
  </si>
  <si>
    <t>19-20A</t>
  </si>
  <si>
    <t>16-17A</t>
  </si>
  <si>
    <t>P1T0</t>
  </si>
  <si>
    <t>P2T0</t>
  </si>
  <si>
    <t>P3T0</t>
  </si>
  <si>
    <t>P4T0</t>
  </si>
  <si>
    <t>* cleaned pump tubing</t>
  </si>
  <si>
    <t>* vial broke + cleaned pump tubing</t>
  </si>
  <si>
    <t>time_label</t>
  </si>
  <si>
    <t>column</t>
  </si>
  <si>
    <t>name</t>
  </si>
  <si>
    <t>val2</t>
  </si>
  <si>
    <t>fe2+ [micromol/L]</t>
  </si>
  <si>
    <t>Value 3</t>
  </si>
  <si>
    <t>slope</t>
  </si>
  <si>
    <t>P1F3</t>
  </si>
  <si>
    <t>P2F3</t>
  </si>
  <si>
    <t>P3F3</t>
  </si>
  <si>
    <t>P4F3</t>
  </si>
  <si>
    <t>P1T36</t>
  </si>
  <si>
    <t>P1T37</t>
  </si>
  <si>
    <t>P1T38</t>
  </si>
  <si>
    <t>P1T39</t>
  </si>
  <si>
    <t>P1T40</t>
  </si>
  <si>
    <t>P1T41</t>
  </si>
  <si>
    <t>P1T42</t>
  </si>
  <si>
    <t>P1T43</t>
  </si>
  <si>
    <t>P1T44</t>
  </si>
  <si>
    <t>P1T45</t>
  </si>
  <si>
    <t>P1T46</t>
  </si>
  <si>
    <t>P1T47</t>
  </si>
  <si>
    <t>P1T48</t>
  </si>
  <si>
    <t>P1T49</t>
  </si>
  <si>
    <t>P1T50</t>
  </si>
  <si>
    <t>P1T51</t>
  </si>
  <si>
    <t>P1T52</t>
  </si>
  <si>
    <t>P1T53</t>
  </si>
  <si>
    <t>P1T54</t>
  </si>
  <si>
    <t>P1T55</t>
  </si>
  <si>
    <t>P2T36</t>
  </si>
  <si>
    <t>P2T37</t>
  </si>
  <si>
    <t>P2T38</t>
  </si>
  <si>
    <t>P2T39</t>
  </si>
  <si>
    <t>P2T40</t>
  </si>
  <si>
    <t>P2T41</t>
  </si>
  <si>
    <t>P2T42</t>
  </si>
  <si>
    <t>P2T43</t>
  </si>
  <si>
    <t>P2T44</t>
  </si>
  <si>
    <t>P2T45</t>
  </si>
  <si>
    <t>P2T46</t>
  </si>
  <si>
    <t>P2T47</t>
  </si>
  <si>
    <t>P2T48</t>
  </si>
  <si>
    <t>P2T49</t>
  </si>
  <si>
    <t>P2T50</t>
  </si>
  <si>
    <t>P2T51</t>
  </si>
  <si>
    <t>P2T52</t>
  </si>
  <si>
    <t>P2T53</t>
  </si>
  <si>
    <t>P2T54</t>
  </si>
  <si>
    <t>P2T55</t>
  </si>
  <si>
    <t>P3T36</t>
  </si>
  <si>
    <t>P3T37</t>
  </si>
  <si>
    <t>P3T38</t>
  </si>
  <si>
    <t>P3T39</t>
  </si>
  <si>
    <t>P3T40</t>
  </si>
  <si>
    <t>P3T41</t>
  </si>
  <si>
    <t>P3T42</t>
  </si>
  <si>
    <t>P3T43</t>
  </si>
  <si>
    <t>P3T44</t>
  </si>
  <si>
    <t>P3T45</t>
  </si>
  <si>
    <t>P3T46</t>
  </si>
  <si>
    <t>P3T47</t>
  </si>
  <si>
    <t>P3T48</t>
  </si>
  <si>
    <t>P3T49</t>
  </si>
  <si>
    <t>P3T50</t>
  </si>
  <si>
    <t>P3T51</t>
  </si>
  <si>
    <t>P3T52</t>
  </si>
  <si>
    <t>P3T53</t>
  </si>
  <si>
    <t>P3T54</t>
  </si>
  <si>
    <t>P3T55</t>
  </si>
  <si>
    <t>P4T36</t>
  </si>
  <si>
    <t>P4T37</t>
  </si>
  <si>
    <t>P4T38</t>
  </si>
  <si>
    <t>P4T39</t>
  </si>
  <si>
    <t>P4T40</t>
  </si>
  <si>
    <t>P4T41</t>
  </si>
  <si>
    <t>P4T42</t>
  </si>
  <si>
    <t>P4T43</t>
  </si>
  <si>
    <t>P4T44</t>
  </si>
  <si>
    <t>P4T45</t>
  </si>
  <si>
    <t>P4T46</t>
  </si>
  <si>
    <t>P4T47</t>
  </si>
  <si>
    <t>P4T48</t>
  </si>
  <si>
    <t>P4T49</t>
  </si>
  <si>
    <t>P4T50</t>
  </si>
  <si>
    <t>P4T51</t>
  </si>
  <si>
    <t>P4T52</t>
  </si>
  <si>
    <t>P4T53</t>
  </si>
  <si>
    <t>P4T54</t>
  </si>
  <si>
    <t>P4T55</t>
  </si>
  <si>
    <t>P1T56</t>
  </si>
  <si>
    <t>P1T57</t>
  </si>
  <si>
    <t>P1T58</t>
  </si>
  <si>
    <t>P1T59</t>
  </si>
  <si>
    <t>P1T60</t>
  </si>
  <si>
    <t>P1T61</t>
  </si>
  <si>
    <t>P1T62</t>
  </si>
  <si>
    <t>P1T63</t>
  </si>
  <si>
    <t>* auto smapler failed</t>
  </si>
  <si>
    <t>* vial leaked (bad cap)</t>
  </si>
  <si>
    <t>P1F4</t>
  </si>
  <si>
    <t>P2F4</t>
  </si>
  <si>
    <t>P3F4</t>
  </si>
  <si>
    <t>P4F4</t>
  </si>
  <si>
    <t>obs: hacl 50, sample 50, fer 100</t>
  </si>
  <si>
    <t>reading</t>
  </si>
  <si>
    <t>conc_microm</t>
  </si>
  <si>
    <t>P1T64</t>
  </si>
  <si>
    <t>P1T65</t>
  </si>
  <si>
    <t>P1T66</t>
  </si>
  <si>
    <t>P1T67</t>
  </si>
  <si>
    <t>P1T68</t>
  </si>
  <si>
    <t>P1T69</t>
  </si>
  <si>
    <t>P1T70</t>
  </si>
  <si>
    <t>P1T71</t>
  </si>
  <si>
    <t>P1T72</t>
  </si>
  <si>
    <t>P1T73</t>
  </si>
  <si>
    <t>P1T74</t>
  </si>
  <si>
    <t>P1T75</t>
  </si>
  <si>
    <t>P1T76</t>
  </si>
  <si>
    <t>P1T77</t>
  </si>
  <si>
    <t>P1T78</t>
  </si>
  <si>
    <t>P1T79</t>
  </si>
  <si>
    <t>P2T56</t>
  </si>
  <si>
    <t>P2T57</t>
  </si>
  <si>
    <t>P2T58</t>
  </si>
  <si>
    <t>P2T59</t>
  </si>
  <si>
    <t>P2T60</t>
  </si>
  <si>
    <t>P2T61</t>
  </si>
  <si>
    <t>P2T62</t>
  </si>
  <si>
    <t>P2T63</t>
  </si>
  <si>
    <t>P2T64</t>
  </si>
  <si>
    <t>P2T65</t>
  </si>
  <si>
    <t>P2T66</t>
  </si>
  <si>
    <t>P2T67</t>
  </si>
  <si>
    <t>P2T68</t>
  </si>
  <si>
    <t>P2T69</t>
  </si>
  <si>
    <t>P2T70</t>
  </si>
  <si>
    <t>P2T71</t>
  </si>
  <si>
    <t>P2T72</t>
  </si>
  <si>
    <t>P2T73</t>
  </si>
  <si>
    <t>P2T74</t>
  </si>
  <si>
    <t>P2T75</t>
  </si>
  <si>
    <t>P2T76</t>
  </si>
  <si>
    <t>P2T77</t>
  </si>
  <si>
    <t>P2T78</t>
  </si>
  <si>
    <t>P2T79</t>
  </si>
  <si>
    <t>P3T56</t>
  </si>
  <si>
    <t>P3T57</t>
  </si>
  <si>
    <t>P3T58</t>
  </si>
  <si>
    <t>P3T59</t>
  </si>
  <si>
    <t>P3T60</t>
  </si>
  <si>
    <t>P3T61</t>
  </si>
  <si>
    <t>P3T62</t>
  </si>
  <si>
    <t>P3T63</t>
  </si>
  <si>
    <t>P3T64</t>
  </si>
  <si>
    <t>P3T65</t>
  </si>
  <si>
    <t>P3T66</t>
  </si>
  <si>
    <t>P3T67</t>
  </si>
  <si>
    <t>P3T68</t>
  </si>
  <si>
    <t>P3T69</t>
  </si>
  <si>
    <t>P3T70</t>
  </si>
  <si>
    <t>P3T71</t>
  </si>
  <si>
    <t>P3T72</t>
  </si>
  <si>
    <t>P3T73</t>
  </si>
  <si>
    <t>P3T74</t>
  </si>
  <si>
    <t>P3T75</t>
  </si>
  <si>
    <t>P3T76</t>
  </si>
  <si>
    <t>P3T77</t>
  </si>
  <si>
    <t>P3T78</t>
  </si>
  <si>
    <t>P3T79</t>
  </si>
  <si>
    <t>P4T56</t>
  </si>
  <si>
    <t>P4T57</t>
  </si>
  <si>
    <t>P4T58</t>
  </si>
  <si>
    <t>P4T59</t>
  </si>
  <si>
    <t>P4T60</t>
  </si>
  <si>
    <t>P4T61</t>
  </si>
  <si>
    <t>P4T62</t>
  </si>
  <si>
    <t>P4T63</t>
  </si>
  <si>
    <t>P4T64</t>
  </si>
  <si>
    <t>P4T65</t>
  </si>
  <si>
    <t>P4T66</t>
  </si>
  <si>
    <t>P4T67</t>
  </si>
  <si>
    <t>P4T68</t>
  </si>
  <si>
    <t>P4T69</t>
  </si>
  <si>
    <t>P4T70</t>
  </si>
  <si>
    <t>P4T71</t>
  </si>
  <si>
    <t>P4T72</t>
  </si>
  <si>
    <t>P4T73</t>
  </si>
  <si>
    <t>P4T74</t>
  </si>
  <si>
    <t>P4T75</t>
  </si>
  <si>
    <t>P4T76</t>
  </si>
  <si>
    <t>P4T77</t>
  </si>
  <si>
    <t>P4T78</t>
  </si>
  <si>
    <t>P4T79</t>
  </si>
  <si>
    <t>slope:</t>
  </si>
  <si>
    <t>intercept:</t>
  </si>
  <si>
    <t>br- [mmol/L]</t>
  </si>
  <si>
    <t>no3- [mgN/L]</t>
  </si>
  <si>
    <t>sample_for_IC</t>
  </si>
  <si>
    <t>B1T1</t>
  </si>
  <si>
    <t>B1T2</t>
  </si>
  <si>
    <t>B1T3</t>
  </si>
  <si>
    <t>B1T4</t>
  </si>
  <si>
    <t>B1T5</t>
  </si>
  <si>
    <t>B1T6</t>
  </si>
  <si>
    <t>B1T7</t>
  </si>
  <si>
    <t>B1T8</t>
  </si>
  <si>
    <t>B1T9</t>
  </si>
  <si>
    <t>B1T10</t>
  </si>
  <si>
    <t>B1T11</t>
  </si>
  <si>
    <t>B1T12</t>
  </si>
  <si>
    <t>B2T1</t>
  </si>
  <si>
    <t>B2T2</t>
  </si>
  <si>
    <t>B2T3</t>
  </si>
  <si>
    <t>B2T4</t>
  </si>
  <si>
    <t>B2T5</t>
  </si>
  <si>
    <t>B2T6</t>
  </si>
  <si>
    <t>B2T7</t>
  </si>
  <si>
    <t>B2T8</t>
  </si>
  <si>
    <t>B2T9</t>
  </si>
  <si>
    <t>B2T10</t>
  </si>
  <si>
    <t>B2T11</t>
  </si>
  <si>
    <t>B2T12</t>
  </si>
  <si>
    <t>B3T1</t>
  </si>
  <si>
    <t>B3T2</t>
  </si>
  <si>
    <t>B3T3</t>
  </si>
  <si>
    <t>B3T4</t>
  </si>
  <si>
    <t>B3T5</t>
  </si>
  <si>
    <t>B3T6</t>
  </si>
  <si>
    <t>B3T7</t>
  </si>
  <si>
    <t>B3T8</t>
  </si>
  <si>
    <t>B3T9</t>
  </si>
  <si>
    <t>B3T10</t>
  </si>
  <si>
    <t>B3T11</t>
  </si>
  <si>
    <t>B3T12</t>
  </si>
  <si>
    <t>B4T1</t>
  </si>
  <si>
    <t>B4T2</t>
  </si>
  <si>
    <t>B4T3</t>
  </si>
  <si>
    <t>B4T4</t>
  </si>
  <si>
    <t>B4T5</t>
  </si>
  <si>
    <t>B4T6</t>
  </si>
  <si>
    <t>B4T7</t>
  </si>
  <si>
    <t>B4T8</t>
  </si>
  <si>
    <t>B4T9</t>
  </si>
  <si>
    <t>B4T10</t>
  </si>
  <si>
    <t>B4T11</t>
  </si>
  <si>
    <t>B4T12</t>
  </si>
  <si>
    <t>start_time</t>
  </si>
  <si>
    <t>end_time</t>
  </si>
  <si>
    <t>weight</t>
  </si>
  <si>
    <t>volume (ml)</t>
  </si>
  <si>
    <t>concentration mM</t>
  </si>
  <si>
    <t>mass (mg)</t>
  </si>
  <si>
    <t>molar mass</t>
  </si>
  <si>
    <t>stock volume</t>
  </si>
  <si>
    <t>agw volume</t>
  </si>
  <si>
    <t>P1T80</t>
  </si>
  <si>
    <t>P1T81</t>
  </si>
  <si>
    <t>P2T80</t>
  </si>
  <si>
    <t>P2T81</t>
  </si>
  <si>
    <t>P3T80</t>
  </si>
  <si>
    <t>P3T81</t>
  </si>
  <si>
    <t>P4T80</t>
  </si>
  <si>
    <t>P4T81</t>
  </si>
  <si>
    <t>*incomplete</t>
  </si>
  <si>
    <t>B1T13</t>
  </si>
  <si>
    <t>B1T14</t>
  </si>
  <si>
    <t>B2T13</t>
  </si>
  <si>
    <t>B2T14</t>
  </si>
  <si>
    <t>B3T13</t>
  </si>
  <si>
    <t>B3T14</t>
  </si>
  <si>
    <t>B4T13</t>
  </si>
  <si>
    <t>B4T14</t>
  </si>
  <si>
    <t>B1T16</t>
  </si>
  <si>
    <t>B2T16</t>
  </si>
  <si>
    <t>B3T16</t>
  </si>
  <si>
    <t>B4T16</t>
  </si>
  <si>
    <t>sample</t>
  </si>
  <si>
    <t>CI_no3</t>
  </si>
  <si>
    <t>Sample ID</t>
  </si>
  <si>
    <t>DIC</t>
  </si>
  <si>
    <t>DOC</t>
  </si>
  <si>
    <t>NH4-N</t>
  </si>
  <si>
    <t>NO3-N</t>
  </si>
  <si>
    <t>NO2-N</t>
  </si>
  <si>
    <r>
      <t>SO4</t>
    </r>
    <r>
      <rPr>
        <vertAlign val="superscript"/>
        <sz val="12"/>
        <color theme="1"/>
        <rFont val="Aptos Narrow"/>
        <family val="2"/>
        <scheme val="minor"/>
      </rPr>
      <t>2-</t>
    </r>
  </si>
  <si>
    <r>
      <t>Cl</t>
    </r>
    <r>
      <rPr>
        <vertAlign val="superscript"/>
        <sz val="12"/>
        <color theme="1"/>
        <rFont val="Aptos Narrow"/>
        <scheme val="minor"/>
      </rPr>
      <t>-</t>
    </r>
  </si>
  <si>
    <r>
      <t>Na</t>
    </r>
    <r>
      <rPr>
        <vertAlign val="superscript"/>
        <sz val="12"/>
        <color theme="1"/>
        <rFont val="Aptos Narrow"/>
        <family val="2"/>
        <scheme val="minor"/>
      </rPr>
      <t>+</t>
    </r>
  </si>
  <si>
    <r>
      <t>K</t>
    </r>
    <r>
      <rPr>
        <vertAlign val="superscript"/>
        <sz val="12"/>
        <color theme="1"/>
        <rFont val="Aptos Narrow"/>
        <family val="2"/>
        <scheme val="minor"/>
      </rPr>
      <t>+</t>
    </r>
  </si>
  <si>
    <r>
      <t>Mg</t>
    </r>
    <r>
      <rPr>
        <vertAlign val="superscript"/>
        <sz val="12"/>
        <color theme="1"/>
        <rFont val="Aptos Narrow"/>
        <family val="2"/>
        <scheme val="minor"/>
      </rPr>
      <t>2+</t>
    </r>
  </si>
  <si>
    <r>
      <t>Ca</t>
    </r>
    <r>
      <rPr>
        <vertAlign val="superscript"/>
        <sz val="12"/>
        <color theme="1"/>
        <rFont val="Aptos Narrow"/>
        <family val="2"/>
        <scheme val="minor"/>
      </rPr>
      <t>2+</t>
    </r>
  </si>
  <si>
    <t>TR</t>
  </si>
  <si>
    <t>oTR</t>
  </si>
  <si>
    <t>BCK 1</t>
  </si>
  <si>
    <t xml:space="preserve">&lt; 0,02 </t>
  </si>
  <si>
    <t>BCK 2</t>
  </si>
  <si>
    <t>BCK 3</t>
  </si>
  <si>
    <t>BCK 4</t>
  </si>
  <si>
    <t>BCK 5</t>
  </si>
  <si>
    <t>P1 11-12</t>
  </si>
  <si>
    <t>P2 11-12</t>
  </si>
  <si>
    <t>P3 11-12</t>
  </si>
  <si>
    <t>P4 11-12</t>
  </si>
  <si>
    <t>P1  20-21</t>
  </si>
  <si>
    <t>P2  20-21</t>
  </si>
  <si>
    <t>P3  20-21</t>
  </si>
  <si>
    <t>P4  20-21</t>
  </si>
  <si>
    <t>P1 40-41</t>
  </si>
  <si>
    <t>P2 40-41</t>
  </si>
  <si>
    <t>P3 40-41</t>
  </si>
  <si>
    <t>P4 40-41</t>
  </si>
  <si>
    <t>P1 50-51</t>
  </si>
  <si>
    <t>P2 50-51</t>
  </si>
  <si>
    <t>P3 50-51</t>
  </si>
  <si>
    <t>P4 50-51</t>
  </si>
  <si>
    <t>P1 62-63</t>
  </si>
  <si>
    <t>P2 61-62</t>
  </si>
  <si>
    <t>P3 61-62</t>
  </si>
  <si>
    <t>P4 61-62</t>
  </si>
  <si>
    <t>P1 71-72</t>
  </si>
  <si>
    <t>P2 71-72</t>
  </si>
  <si>
    <t>P3 71-72</t>
  </si>
  <si>
    <t>P4 71-72</t>
  </si>
  <si>
    <t>P1 78-79</t>
  </si>
  <si>
    <t>P2 78-79</t>
  </si>
  <si>
    <t>P3 78-79</t>
  </si>
  <si>
    <t>P4 78-79</t>
  </si>
  <si>
    <t>BR17-18</t>
  </si>
  <si>
    <t>Nitrate mg/L</t>
  </si>
  <si>
    <t>Sulfate mg/L</t>
  </si>
  <si>
    <t>002-std100-5</t>
  </si>
  <si>
    <t>Standard 1</t>
  </si>
  <si>
    <t>001-std100-5</t>
  </si>
  <si>
    <t>003-std80-4</t>
  </si>
  <si>
    <t>Standard 2</t>
  </si>
  <si>
    <t>004-std60-3</t>
  </si>
  <si>
    <t>Standard 3</t>
  </si>
  <si>
    <t>005-std40-2</t>
  </si>
  <si>
    <t>Standard 4</t>
  </si>
  <si>
    <t>006-std20-1</t>
  </si>
  <si>
    <t>Standard 5</t>
  </si>
  <si>
    <t>007-std25-1.5</t>
  </si>
  <si>
    <t>Standard 11</t>
  </si>
  <si>
    <t>008-std10-1</t>
  </si>
  <si>
    <t>Standard 7</t>
  </si>
  <si>
    <t>009-std5-0.5</t>
  </si>
  <si>
    <t>Standard 8</t>
  </si>
  <si>
    <t>010-std2-0.2</t>
  </si>
  <si>
    <t>Standard 9</t>
  </si>
  <si>
    <t>011-std1-0.1</t>
  </si>
  <si>
    <t>Standard 10</t>
  </si>
  <si>
    <t>012-BCK11</t>
  </si>
  <si>
    <t>Probe</t>
  </si>
  <si>
    <t>013-BCK12</t>
  </si>
  <si>
    <t>014-BCK31</t>
  </si>
  <si>
    <t>015-BCK32</t>
  </si>
  <si>
    <t>016-BCK41</t>
  </si>
  <si>
    <t>017-BCK51</t>
  </si>
  <si>
    <t>018-BCK52</t>
  </si>
  <si>
    <t>019-P1T0</t>
  </si>
  <si>
    <t>020-P1T3</t>
  </si>
  <si>
    <t>021-P1T8</t>
  </si>
  <si>
    <t>022-P1T15</t>
  </si>
  <si>
    <t>023-P1T23</t>
  </si>
  <si>
    <t>024-P1T27</t>
  </si>
  <si>
    <t>025-P1T35</t>
  </si>
  <si>
    <t>026-BCK21</t>
  </si>
  <si>
    <t>027-BCK22</t>
  </si>
  <si>
    <t>029-P1T43</t>
  </si>
  <si>
    <t>030-P1T47</t>
  </si>
  <si>
    <t>031-P1T55</t>
  </si>
  <si>
    <t>032-P1T56</t>
  </si>
  <si>
    <t>033-P1T63</t>
  </si>
  <si>
    <t>034-P1T67</t>
  </si>
  <si>
    <t>035-P1T70</t>
  </si>
  <si>
    <t>038-BCK42</t>
  </si>
  <si>
    <t>039-P1T75</t>
  </si>
  <si>
    <t>040-P1T80</t>
  </si>
  <si>
    <t>041-B1T2</t>
  </si>
  <si>
    <t>042-B1T6</t>
  </si>
  <si>
    <t>043-B1T10</t>
  </si>
  <si>
    <t>044-B1T14</t>
  </si>
  <si>
    <t>045-B1T16</t>
  </si>
  <si>
    <t>046-P2T0</t>
  </si>
  <si>
    <t>047-B2T3</t>
  </si>
  <si>
    <t>048-P2T8</t>
  </si>
  <si>
    <t>049-P2T15</t>
  </si>
  <si>
    <t>050-P2T23</t>
  </si>
  <si>
    <t>051-P2T27</t>
  </si>
  <si>
    <t>052-P2T35</t>
  </si>
  <si>
    <t>053-P2T39</t>
  </si>
  <si>
    <t>054-P2T43</t>
  </si>
  <si>
    <t>055-P2T46</t>
  </si>
  <si>
    <t>056-P2T55</t>
  </si>
  <si>
    <t>057-P2T57</t>
  </si>
  <si>
    <t>058-P2T58</t>
  </si>
  <si>
    <t>059-P2T59</t>
  </si>
  <si>
    <t>060-P2T60</t>
  </si>
  <si>
    <t>061-P2T63</t>
  </si>
  <si>
    <t>062-P2T67</t>
  </si>
  <si>
    <t>063-P2T70</t>
  </si>
  <si>
    <t>065-P2T80</t>
  </si>
  <si>
    <t>066-B2T2</t>
  </si>
  <si>
    <t>067-B2T6</t>
  </si>
  <si>
    <t>068-B2T10</t>
  </si>
  <si>
    <t>069-B2T14</t>
  </si>
  <si>
    <t>070-P3T0</t>
  </si>
  <si>
    <t>071-P3T3</t>
  </si>
  <si>
    <t>072-P3T8</t>
  </si>
  <si>
    <t>073-P3T15</t>
  </si>
  <si>
    <t>074-P3T23</t>
  </si>
  <si>
    <t>075-P3T27</t>
  </si>
  <si>
    <t>076-P3T35</t>
  </si>
  <si>
    <t>076-P3T39</t>
  </si>
  <si>
    <t>078-P3T43</t>
  </si>
  <si>
    <t>079-P3T47</t>
  </si>
  <si>
    <t>080-P3T55</t>
  </si>
  <si>
    <t>081-P3T57</t>
  </si>
  <si>
    <t>082-P3T58</t>
  </si>
  <si>
    <t>083-P3T59</t>
  </si>
  <si>
    <t>084-P3T60</t>
  </si>
  <si>
    <t>085-P3T63</t>
  </si>
  <si>
    <t>086-P3T67</t>
  </si>
  <si>
    <t>087-P3T70</t>
  </si>
  <si>
    <t>088-P3T75</t>
  </si>
  <si>
    <t>089-P3T80</t>
  </si>
  <si>
    <t>090-B3T2</t>
  </si>
  <si>
    <t>091-B3T6</t>
  </si>
  <si>
    <t>092-B3T10</t>
  </si>
  <si>
    <t>093-B3T14</t>
  </si>
  <si>
    <t>094-B3T16</t>
  </si>
  <si>
    <t>095-B2T16</t>
  </si>
  <si>
    <t>096-P4T0</t>
  </si>
  <si>
    <t>097-P4T3</t>
  </si>
  <si>
    <t>098-P4T8</t>
  </si>
  <si>
    <t>099-P4T15</t>
  </si>
  <si>
    <t>100-P4T23</t>
  </si>
  <si>
    <t>101-P4T27</t>
  </si>
  <si>
    <t>102-P4T35</t>
  </si>
  <si>
    <t>103-P4T39</t>
  </si>
  <si>
    <t>104-P4T43</t>
  </si>
  <si>
    <t>105-P4T47</t>
  </si>
  <si>
    <t>106-P4T55</t>
  </si>
  <si>
    <t>107-P4T59</t>
  </si>
  <si>
    <t>108-P4T63</t>
  </si>
  <si>
    <t>109-P4T67</t>
  </si>
  <si>
    <t>110-P4T70</t>
  </si>
  <si>
    <t>111-P4T75</t>
  </si>
  <si>
    <t>112-P4T80</t>
  </si>
  <si>
    <t>028-P1T39</t>
  </si>
  <si>
    <t>064-P2T75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</si>
</sst>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vertAlign val="superscript"/>
      <sz val="12"/>
      <color theme="1"/>
      <name val="Aptos Narrow"/>
      <family val="2"/>
      <scheme val="minor"/>
    </font>
    <font>
      <vertAlign val="superscript"/>
      <sz val="12"/>
      <color theme="1"/>
      <name val="Aptos Narrow"/>
      <scheme val="minor"/>
    </font>
    <font>
      <sz val="12"/>
      <color rgb="FF889B4A"/>
      <name val="JuliaMono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22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7" xfId="0" applyBorder="1"/>
    <xf numFmtId="164" fontId="0" fillId="0" borderId="8" xfId="0" applyNumberFormat="1" applyBorder="1"/>
    <xf numFmtId="2" fontId="0" fillId="0" borderId="8" xfId="0" applyNumberFormat="1" applyBorder="1"/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9" xfId="0" applyBorder="1"/>
    <xf numFmtId="0" fontId="0" fillId="0" borderId="10" xfId="0" applyBorder="1"/>
    <xf numFmtId="164" fontId="0" fillId="0" borderId="11" xfId="0" applyNumberFormat="1" applyBorder="1"/>
    <xf numFmtId="2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6" xfId="0" applyBorder="1"/>
    <xf numFmtId="0" fontId="0" fillId="0" borderId="13" xfId="0" applyBorder="1"/>
    <xf numFmtId="0" fontId="0" fillId="0" borderId="14" xfId="0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Bromide tracer standards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0837360847135487"/>
                  <c:y val="-1.697818922794395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bromide_curve!$T$2:$T$8</c:f>
              <c:numCache>
                <c:formatCode>General</c:formatCode>
                <c:ptCount val="7"/>
                <c:pt idx="0">
                  <c:v>166.7</c:v>
                </c:pt>
                <c:pt idx="1">
                  <c:v>149.19999999999999</c:v>
                </c:pt>
                <c:pt idx="2">
                  <c:v>131.19999999999999</c:v>
                </c:pt>
                <c:pt idx="3">
                  <c:v>113.3</c:v>
                </c:pt>
                <c:pt idx="4">
                  <c:v>57.4</c:v>
                </c:pt>
                <c:pt idx="5">
                  <c:v>42.5</c:v>
                </c:pt>
                <c:pt idx="6">
                  <c:v>36.200000000000003</c:v>
                </c:pt>
              </c:numCache>
            </c:numRef>
          </c:xVal>
          <c:yVal>
            <c:numRef>
              <c:f>bromide_curve!$R$2:$R$8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0.5</c:v>
                </c:pt>
                <c:pt idx="3">
                  <c:v>0.25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61-5042-9271-51560FDE2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534080"/>
        <c:axId val="1081535808"/>
      </c:scatterChart>
      <c:valAx>
        <c:axId val="108153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81535808"/>
        <c:crosses val="autoZero"/>
        <c:crossBetween val="midCat"/>
      </c:valAx>
      <c:valAx>
        <c:axId val="10815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8153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Bromide tracer standards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0837360847135487"/>
                  <c:y val="-1.697818922794395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bromide_curve_v2!$T$2:$T$8</c:f>
              <c:numCache>
                <c:formatCode>General</c:formatCode>
                <c:ptCount val="7"/>
                <c:pt idx="0">
                  <c:v>161.30000000000001</c:v>
                </c:pt>
                <c:pt idx="1">
                  <c:v>143.6</c:v>
                </c:pt>
                <c:pt idx="2">
                  <c:v>125.2</c:v>
                </c:pt>
                <c:pt idx="3">
                  <c:v>106.5</c:v>
                </c:pt>
                <c:pt idx="4">
                  <c:v>47.1</c:v>
                </c:pt>
                <c:pt idx="5">
                  <c:v>45.8</c:v>
                </c:pt>
                <c:pt idx="6">
                  <c:v>44.8</c:v>
                </c:pt>
              </c:numCache>
            </c:numRef>
          </c:xVal>
          <c:yVal>
            <c:numRef>
              <c:f>bromide_curve_v2!$R$2:$R$8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0.5</c:v>
                </c:pt>
                <c:pt idx="3">
                  <c:v>0.25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67-9B4B-AB2A-DA3B0421F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534080"/>
        <c:axId val="1081535808"/>
      </c:scatterChart>
      <c:valAx>
        <c:axId val="108153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81535808"/>
        <c:crosses val="autoZero"/>
        <c:crossBetween val="midCat"/>
      </c:valAx>
      <c:valAx>
        <c:axId val="10815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8153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 total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v>FeT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496723804367729"/>
                  <c:y val="-3.60850106502644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fe_total!$H$2:$H$5</c:f>
              <c:numCache>
                <c:formatCode>General</c:formatCode>
                <c:ptCount val="4"/>
                <c:pt idx="0">
                  <c:v>0.129</c:v>
                </c:pt>
                <c:pt idx="1">
                  <c:v>0.19800000000000001</c:v>
                </c:pt>
                <c:pt idx="2">
                  <c:v>0.28699999999999998</c:v>
                </c:pt>
                <c:pt idx="3">
                  <c:v>0.45200000000000001</c:v>
                </c:pt>
              </c:numCache>
            </c:numRef>
          </c:xVal>
          <c:yVal>
            <c:numRef>
              <c:f>fe_total!$G$2:$G$5</c:f>
              <c:numCache>
                <c:formatCode>General</c:formatCode>
                <c:ptCount val="4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8D-BE46-9708-39C1ADBC9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948543"/>
        <c:axId val="683950255"/>
      </c:scatterChart>
      <c:valAx>
        <c:axId val="68394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83950255"/>
        <c:crosses val="autoZero"/>
        <c:crossBetween val="midCat"/>
      </c:valAx>
      <c:valAx>
        <c:axId val="6839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83948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calibration range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8468522626868989E-2"/>
                  <c:y val="-1.60070933123072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standard_curve_no2!$J$2:$J$9</c:f>
              <c:numCache>
                <c:formatCode>General</c:formatCode>
                <c:ptCount val="8"/>
                <c:pt idx="0">
                  <c:v>0.88749999999999996</c:v>
                </c:pt>
                <c:pt idx="1">
                  <c:v>0.72750000000000004</c:v>
                </c:pt>
                <c:pt idx="2">
                  <c:v>0.52449999999999997</c:v>
                </c:pt>
                <c:pt idx="3">
                  <c:v>0.40600000000000003</c:v>
                </c:pt>
                <c:pt idx="4">
                  <c:v>0.22750000000000001</c:v>
                </c:pt>
                <c:pt idx="5">
                  <c:v>0.129</c:v>
                </c:pt>
                <c:pt idx="6">
                  <c:v>6.9000000000000006E-2</c:v>
                </c:pt>
                <c:pt idx="7">
                  <c:v>4.4999999999999998E-2</c:v>
                </c:pt>
              </c:numCache>
            </c:numRef>
          </c:xVal>
          <c:yVal>
            <c:numRef>
              <c:f>standard_curve_no2!$G$2:$G$9</c:f>
              <c:numCache>
                <c:formatCode>General</c:formatCode>
                <c:ptCount val="8"/>
                <c:pt idx="0">
                  <c:v>50</c:v>
                </c:pt>
                <c:pt idx="1">
                  <c:v>40</c:v>
                </c:pt>
                <c:pt idx="2">
                  <c:v>30</c:v>
                </c:pt>
                <c:pt idx="3">
                  <c:v>20</c:v>
                </c:pt>
                <c:pt idx="4">
                  <c:v>10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8E-7F4D-9215-C1CC9BC3BE0C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</c:dLbls>
        <c:axId val="1885324960"/>
        <c:axId val="1885326672"/>
      </c:scatterChart>
      <c:valAx>
        <c:axId val="188532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85326672"/>
        <c:crosses val="autoZero"/>
        <c:crossBetween val="midCat"/>
      </c:valAx>
      <c:valAx>
        <c:axId val="1885326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85324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fe_plate_1!$M$1</c:f>
              <c:strCache>
                <c:ptCount val="1"/>
                <c:pt idx="0">
                  <c:v>Avg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0496723804367729"/>
                  <c:y val="-3.60850106502644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fe_plate_1!$M$3:$M$8</c:f>
              <c:numCache>
                <c:formatCode>General</c:formatCode>
                <c:ptCount val="6"/>
                <c:pt idx="0">
                  <c:v>0.82450000000000001</c:v>
                </c:pt>
                <c:pt idx="1">
                  <c:v>0.42599999999999999</c:v>
                </c:pt>
                <c:pt idx="2">
                  <c:v>0.1915</c:v>
                </c:pt>
                <c:pt idx="3">
                  <c:v>0.11899999999999999</c:v>
                </c:pt>
                <c:pt idx="4">
                  <c:v>7.7499999999999999E-2</c:v>
                </c:pt>
                <c:pt idx="5">
                  <c:v>5.5999999999999994E-2</c:v>
                </c:pt>
              </c:numCache>
            </c:numRef>
          </c:xVal>
          <c:yVal>
            <c:numRef>
              <c:f>fe_plate_1!$I$3:$I$8</c:f>
              <c:numCache>
                <c:formatCode>General</c:formatCode>
                <c:ptCount val="6"/>
                <c:pt idx="0">
                  <c:v>500</c:v>
                </c:pt>
                <c:pt idx="1">
                  <c:v>250</c:v>
                </c:pt>
                <c:pt idx="2">
                  <c:v>100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5F-5541-BCF4-A4E25A258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948543"/>
        <c:axId val="683950255"/>
      </c:scatterChart>
      <c:valAx>
        <c:axId val="68394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83950255"/>
        <c:crosses val="autoZero"/>
        <c:crossBetween val="midCat"/>
      </c:valAx>
      <c:valAx>
        <c:axId val="6839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83948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88900</xdr:colOff>
      <xdr:row>9</xdr:row>
      <xdr:rowOff>38100</xdr:rowOff>
    </xdr:from>
    <xdr:to>
      <xdr:col>24</xdr:col>
      <xdr:colOff>678564</xdr:colOff>
      <xdr:row>33</xdr:row>
      <xdr:rowOff>16539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E8176C-B309-5D44-B036-7E169C235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88900</xdr:colOff>
      <xdr:row>9</xdr:row>
      <xdr:rowOff>38100</xdr:rowOff>
    </xdr:from>
    <xdr:to>
      <xdr:col>24</xdr:col>
      <xdr:colOff>678564</xdr:colOff>
      <xdr:row>35</xdr:row>
      <xdr:rowOff>16539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7C2FD-3815-D34F-8042-F7DC7D913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558800</xdr:colOff>
      <xdr:row>3</xdr:row>
      <xdr:rowOff>152400</xdr:rowOff>
    </xdr:from>
    <xdr:to>
      <xdr:col>16</xdr:col>
      <xdr:colOff>234950</xdr:colOff>
      <xdr:row>24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D884D8-9E42-4641-A976-F13C58EC3A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2</xdr:row>
      <xdr:rowOff>152400</xdr:rowOff>
    </xdr:from>
    <xdr:to>
      <xdr:col>17</xdr:col>
      <xdr:colOff>379240</xdr:colOff>
      <xdr:row>18</xdr:row>
      <xdr:rowOff>50494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996E71-4B72-9647-A6A7-F60A119B0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349250</xdr:colOff>
      <xdr:row>0</xdr:row>
      <xdr:rowOff>114300</xdr:rowOff>
    </xdr:from>
    <xdr:to>
      <xdr:col>21</xdr:col>
      <xdr:colOff>25400</xdr:colOff>
      <xdr:row>21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1D0600-A7AC-0A46-ABE2-1798D8ACE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E69C-B565-9948-8744-019B7DBC9C60}">
  <dimension ref="A1:M82"/>
  <sheetViews>
    <sheetView workbookViewId="0">
      <selection activeCell="J4" sqref="J4"/>
    </sheetView>
  </sheetViews>
  <sheetFormatPr baseColWidth="10" defaultRowHeight="16" x14ac:dyDescent="0.2"/>
  <cols>
    <col min="2" max="3" width="13" bestFit="1" customWidth="1"/>
    <col min="5" max="5" width="12.1640625" bestFit="1" customWidth="1"/>
    <col min="8" max="8" width="11.33203125" bestFit="1" customWidth="1"/>
    <col min="9" max="9" width="11.33203125" customWidth="1"/>
  </cols>
  <sheetData>
    <row r="1" spans="1:13" x14ac:dyDescent="0.2">
      <c r="A1" t="s">
        <v>0</v>
      </c>
      <c r="B1" t="s">
        <v>437</v>
      </c>
      <c r="C1" t="s">
        <v>438</v>
      </c>
      <c r="D1" t="s">
        <v>3</v>
      </c>
      <c r="E1" t="s">
        <v>4</v>
      </c>
      <c r="F1" t="s">
        <v>5</v>
      </c>
      <c r="G1" t="s">
        <v>6</v>
      </c>
      <c r="H1" t="s">
        <v>387</v>
      </c>
      <c r="I1" t="s">
        <v>468</v>
      </c>
      <c r="J1" s="22" t="s">
        <v>44</v>
      </c>
      <c r="K1" t="s">
        <v>45</v>
      </c>
      <c r="L1" t="s">
        <v>46</v>
      </c>
      <c r="M1" t="s">
        <v>159</v>
      </c>
    </row>
    <row r="2" spans="1:13" x14ac:dyDescent="0.2">
      <c r="A2" t="s">
        <v>8</v>
      </c>
      <c r="B2" s="1">
        <v>45922.71597222222</v>
      </c>
      <c r="C2" s="1">
        <f>B2+6/24</f>
        <v>45922.96597222222</v>
      </c>
      <c r="D2">
        <v>18.91</v>
      </c>
      <c r="E2">
        <f t="shared" ref="E2:E56" si="0">(D2-6.75)/6</f>
        <v>2.0266666666666668</v>
      </c>
      <c r="K2" t="e">
        <f>VLOOKUP(A2,IC_raw!$C$2:$E$111,3,FALSE)</f>
        <v>#N/A</v>
      </c>
      <c r="L2" t="e">
        <f>VLOOKUP(A2,IC_raw!$C$2:$E$111,2,FALSE)</f>
        <v>#N/A</v>
      </c>
    </row>
    <row r="3" spans="1:13" x14ac:dyDescent="0.2">
      <c r="A3" t="s">
        <v>9</v>
      </c>
      <c r="B3" s="1">
        <f>C2</f>
        <v>45922.96597222222</v>
      </c>
      <c r="C3" s="1">
        <f>B3+6/24</f>
        <v>45923.21597222222</v>
      </c>
      <c r="D3">
        <v>18.79</v>
      </c>
      <c r="E3">
        <f t="shared" si="0"/>
        <v>2.0066666666666664</v>
      </c>
      <c r="K3" t="e">
        <f>VLOOKUP(A3,IC_raw!$C$2:$E$111,3,FALSE)</f>
        <v>#N/A</v>
      </c>
      <c r="L3" t="e">
        <f>VLOOKUP(A3,IC_raw!$C$2:$E$111,2,FALSE)</f>
        <v>#N/A</v>
      </c>
    </row>
    <row r="4" spans="1:13" x14ac:dyDescent="0.2">
      <c r="A4" t="s">
        <v>10</v>
      </c>
      <c r="B4" s="1">
        <f t="shared" ref="B4:B36" si="1">C3</f>
        <v>45923.21597222222</v>
      </c>
      <c r="C4" s="1">
        <f t="shared" ref="C4:C36" si="2">B4+6/24</f>
        <v>45923.46597222222</v>
      </c>
      <c r="D4">
        <v>18.809999999999999</v>
      </c>
      <c r="E4">
        <f t="shared" si="0"/>
        <v>2.0099999999999998</v>
      </c>
      <c r="F4">
        <v>8.25</v>
      </c>
      <c r="G4">
        <v>678</v>
      </c>
      <c r="H4">
        <v>13.5</v>
      </c>
      <c r="I4">
        <f>3/62*14</f>
        <v>0.67741935483870963</v>
      </c>
      <c r="K4">
        <f>VLOOKUP(A4,IC_raw!$C$2:$E$111,3,FALSE)</f>
        <v>0.99</v>
      </c>
      <c r="L4">
        <f>VLOOKUP(A4,IC_raw!$C$2:$E$111,2,FALSE)</f>
        <v>65.010000000000005</v>
      </c>
    </row>
    <row r="5" spans="1:13" x14ac:dyDescent="0.2">
      <c r="A5" t="s">
        <v>24</v>
      </c>
      <c r="B5" s="1">
        <f t="shared" si="1"/>
        <v>45923.46597222222</v>
      </c>
      <c r="C5" s="1">
        <f t="shared" si="2"/>
        <v>45923.71597222222</v>
      </c>
      <c r="D5">
        <v>18.79</v>
      </c>
      <c r="E5">
        <f t="shared" si="0"/>
        <v>2.0066666666666664</v>
      </c>
      <c r="K5" t="e">
        <f>VLOOKUP(A5,IC_raw!$C$2:$E$111,3,FALSE)</f>
        <v>#N/A</v>
      </c>
      <c r="L5" t="e">
        <f>VLOOKUP(A5,IC_raw!$C$2:$E$111,2,FALSE)</f>
        <v>#N/A</v>
      </c>
    </row>
    <row r="6" spans="1:13" x14ac:dyDescent="0.2">
      <c r="A6" t="s">
        <v>25</v>
      </c>
      <c r="B6" s="1">
        <f t="shared" si="1"/>
        <v>45923.71597222222</v>
      </c>
      <c r="C6" s="1">
        <f t="shared" si="2"/>
        <v>45923.96597222222</v>
      </c>
      <c r="D6">
        <v>18.3</v>
      </c>
      <c r="E6">
        <f t="shared" si="0"/>
        <v>1.925</v>
      </c>
      <c r="K6" t="e">
        <f>VLOOKUP(A6,IC_raw!$C$2:$E$111,3,FALSE)</f>
        <v>#N/A</v>
      </c>
      <c r="L6" t="e">
        <f>VLOOKUP(A6,IC_raw!$C$2:$E$111,2,FALSE)</f>
        <v>#N/A</v>
      </c>
    </row>
    <row r="7" spans="1:13" x14ac:dyDescent="0.2">
      <c r="A7" t="s">
        <v>26</v>
      </c>
      <c r="B7" s="1">
        <f t="shared" si="1"/>
        <v>45923.96597222222</v>
      </c>
      <c r="C7" s="1">
        <f t="shared" si="2"/>
        <v>45924.21597222222</v>
      </c>
      <c r="D7">
        <v>18.350000000000001</v>
      </c>
      <c r="E7">
        <f t="shared" si="0"/>
        <v>1.9333333333333336</v>
      </c>
      <c r="K7" t="e">
        <f>VLOOKUP(A7,IC_raw!$C$2:$E$111,3,FALSE)</f>
        <v>#N/A</v>
      </c>
      <c r="L7" t="e">
        <f>VLOOKUP(A7,IC_raw!$C$2:$E$111,2,FALSE)</f>
        <v>#N/A</v>
      </c>
    </row>
    <row r="8" spans="1:13" x14ac:dyDescent="0.2">
      <c r="A8" t="s">
        <v>27</v>
      </c>
      <c r="B8" s="1">
        <f t="shared" si="1"/>
        <v>45924.21597222222</v>
      </c>
      <c r="C8" s="1">
        <f t="shared" si="2"/>
        <v>45924.46597222222</v>
      </c>
      <c r="D8">
        <v>18.55</v>
      </c>
      <c r="E8">
        <f t="shared" si="0"/>
        <v>1.9666666666666668</v>
      </c>
      <c r="K8" t="e">
        <f>VLOOKUP(A8,IC_raw!$C$2:$E$111,3,FALSE)</f>
        <v>#N/A</v>
      </c>
      <c r="L8" t="e">
        <f>VLOOKUP(A8,IC_raw!$C$2:$E$111,2,FALSE)</f>
        <v>#N/A</v>
      </c>
    </row>
    <row r="9" spans="1:13" x14ac:dyDescent="0.2">
      <c r="A9" t="s">
        <v>28</v>
      </c>
      <c r="B9" s="1">
        <f t="shared" si="1"/>
        <v>45924.46597222222</v>
      </c>
      <c r="C9" s="1">
        <f t="shared" si="2"/>
        <v>45924.71597222222</v>
      </c>
      <c r="F9">
        <v>8.24</v>
      </c>
      <c r="G9">
        <v>596</v>
      </c>
      <c r="H9">
        <v>14.6</v>
      </c>
      <c r="I9">
        <f>3/62*14</f>
        <v>0.67741935483870963</v>
      </c>
      <c r="K9">
        <f>VLOOKUP(A9,IC_raw!$C$2:$E$111,3,FALSE)</f>
        <v>0.98</v>
      </c>
      <c r="L9">
        <f>VLOOKUP(A9,IC_raw!$C$2:$E$111,2,FALSE)</f>
        <v>63.84</v>
      </c>
    </row>
    <row r="10" spans="1:13" x14ac:dyDescent="0.2">
      <c r="A10" t="s">
        <v>51</v>
      </c>
      <c r="B10" s="1">
        <f t="shared" si="1"/>
        <v>45924.71597222222</v>
      </c>
      <c r="C10" s="1">
        <f t="shared" si="2"/>
        <v>45924.96597222222</v>
      </c>
      <c r="D10">
        <v>18.52</v>
      </c>
      <c r="E10">
        <f t="shared" si="0"/>
        <v>1.9616666666666667</v>
      </c>
      <c r="K10" t="e">
        <f>VLOOKUP(A10,IC_raw!$C$2:$E$111,3,FALSE)</f>
        <v>#N/A</v>
      </c>
      <c r="L10" t="e">
        <f>VLOOKUP(A10,IC_raw!$C$2:$E$111,2,FALSE)</f>
        <v>#N/A</v>
      </c>
    </row>
    <row r="11" spans="1:13" x14ac:dyDescent="0.2">
      <c r="A11" t="s">
        <v>52</v>
      </c>
      <c r="B11" s="1">
        <f t="shared" si="1"/>
        <v>45924.96597222222</v>
      </c>
      <c r="C11" s="1">
        <f t="shared" si="2"/>
        <v>45925.21597222222</v>
      </c>
      <c r="D11">
        <v>18.48</v>
      </c>
      <c r="E11">
        <f t="shared" si="0"/>
        <v>1.9550000000000001</v>
      </c>
      <c r="K11" t="e">
        <f>VLOOKUP(A11,IC_raw!$C$2:$E$111,3,FALSE)</f>
        <v>#N/A</v>
      </c>
      <c r="L11" t="e">
        <f>VLOOKUP(A11,IC_raw!$C$2:$E$111,2,FALSE)</f>
        <v>#N/A</v>
      </c>
    </row>
    <row r="12" spans="1:13" x14ac:dyDescent="0.2">
      <c r="A12" t="s">
        <v>53</v>
      </c>
      <c r="B12" s="1">
        <f t="shared" si="1"/>
        <v>45925.21597222222</v>
      </c>
      <c r="C12" s="1">
        <f t="shared" si="2"/>
        <v>45925.46597222222</v>
      </c>
      <c r="D12">
        <v>18.329999999999998</v>
      </c>
      <c r="E12">
        <f t="shared" si="0"/>
        <v>1.9299999999999997</v>
      </c>
      <c r="K12" t="e">
        <f>VLOOKUP(A12,IC_raw!$C$2:$E$111,3,FALSE)</f>
        <v>#N/A</v>
      </c>
      <c r="L12" t="e">
        <f>VLOOKUP(A12,IC_raw!$C$2:$E$111,2,FALSE)</f>
        <v>#N/A</v>
      </c>
    </row>
    <row r="13" spans="1:13" x14ac:dyDescent="0.2">
      <c r="A13" t="s">
        <v>54</v>
      </c>
      <c r="B13" s="1">
        <f t="shared" si="1"/>
        <v>45925.46597222222</v>
      </c>
      <c r="C13" s="1">
        <f t="shared" si="2"/>
        <v>45925.71597222222</v>
      </c>
      <c r="D13">
        <v>18.510000000000002</v>
      </c>
      <c r="E13">
        <f t="shared" si="0"/>
        <v>1.9600000000000002</v>
      </c>
      <c r="K13" t="e">
        <f>VLOOKUP(A13,IC_raw!$C$2:$E$111,3,FALSE)</f>
        <v>#N/A</v>
      </c>
      <c r="L13" t="e">
        <f>VLOOKUP(A13,IC_raw!$C$2:$E$111,2,FALSE)</f>
        <v>#N/A</v>
      </c>
      <c r="M13" t="s">
        <v>160</v>
      </c>
    </row>
    <row r="14" spans="1:13" x14ac:dyDescent="0.2">
      <c r="A14" t="s">
        <v>55</v>
      </c>
      <c r="B14" s="1">
        <f t="shared" si="1"/>
        <v>45925.71597222222</v>
      </c>
      <c r="C14" s="1">
        <f t="shared" si="2"/>
        <v>45925.96597222222</v>
      </c>
      <c r="D14">
        <v>18.18</v>
      </c>
      <c r="E14">
        <f t="shared" si="0"/>
        <v>1.905</v>
      </c>
      <c r="K14" t="e">
        <f>VLOOKUP(A14,IC_raw!$C$2:$E$111,3,FALSE)</f>
        <v>#N/A</v>
      </c>
      <c r="L14" t="e">
        <f>VLOOKUP(A14,IC_raw!$C$2:$E$111,2,FALSE)</f>
        <v>#N/A</v>
      </c>
    </row>
    <row r="15" spans="1:13" x14ac:dyDescent="0.2">
      <c r="A15" t="s">
        <v>56</v>
      </c>
      <c r="B15" s="1">
        <f t="shared" si="1"/>
        <v>45925.96597222222</v>
      </c>
      <c r="C15" s="1">
        <f t="shared" si="2"/>
        <v>45926.21597222222</v>
      </c>
      <c r="D15">
        <v>18.21</v>
      </c>
      <c r="E15">
        <f t="shared" si="0"/>
        <v>1.9100000000000001</v>
      </c>
      <c r="K15" t="e">
        <f>VLOOKUP(A15,IC_raw!$C$2:$E$111,3,FALSE)</f>
        <v>#N/A</v>
      </c>
      <c r="L15" t="e">
        <f>VLOOKUP(A15,IC_raw!$C$2:$E$111,2,FALSE)</f>
        <v>#N/A</v>
      </c>
    </row>
    <row r="16" spans="1:13" x14ac:dyDescent="0.2">
      <c r="A16" t="s">
        <v>57</v>
      </c>
      <c r="B16" s="1">
        <f t="shared" si="1"/>
        <v>45926.21597222222</v>
      </c>
      <c r="C16" s="1">
        <f t="shared" si="2"/>
        <v>45926.46597222222</v>
      </c>
      <c r="D16">
        <v>18.27</v>
      </c>
      <c r="E16">
        <f t="shared" si="0"/>
        <v>1.92</v>
      </c>
      <c r="F16">
        <v>8.2100000000000009</v>
      </c>
      <c r="G16">
        <v>991</v>
      </c>
      <c r="H16">
        <v>14.4</v>
      </c>
      <c r="I16">
        <f>3/62*14</f>
        <v>0.67741935483870963</v>
      </c>
      <c r="K16">
        <f>VLOOKUP(A16,IC_raw!$C$2:$E$111,3,FALSE)</f>
        <v>0.96</v>
      </c>
      <c r="L16">
        <f>VLOOKUP(A16,IC_raw!$C$2:$E$111,2,FALSE)</f>
        <v>62.62</v>
      </c>
    </row>
    <row r="17" spans="1:13" x14ac:dyDescent="0.2">
      <c r="A17" t="s">
        <v>58</v>
      </c>
      <c r="B17" s="1">
        <f t="shared" si="1"/>
        <v>45926.46597222222</v>
      </c>
      <c r="C17" s="1">
        <f t="shared" si="2"/>
        <v>45926.71597222222</v>
      </c>
      <c r="K17" t="e">
        <f>VLOOKUP(A17,IC_raw!$C$2:$E$111,3,FALSE)</f>
        <v>#N/A</v>
      </c>
      <c r="L17" t="e">
        <f>VLOOKUP(A17,IC_raw!$C$2:$E$111,2,FALSE)</f>
        <v>#N/A</v>
      </c>
      <c r="M17" t="s">
        <v>161</v>
      </c>
    </row>
    <row r="18" spans="1:13" x14ac:dyDescent="0.2">
      <c r="A18" t="s">
        <v>59</v>
      </c>
      <c r="B18" s="1">
        <f t="shared" si="1"/>
        <v>45926.71597222222</v>
      </c>
      <c r="C18" s="1">
        <f t="shared" si="2"/>
        <v>45926.96597222222</v>
      </c>
      <c r="D18">
        <v>18.079999999999998</v>
      </c>
      <c r="E18">
        <f t="shared" si="0"/>
        <v>1.888333333333333</v>
      </c>
      <c r="K18" t="e">
        <f>VLOOKUP(A18,IC_raw!$C$2:$E$111,3,FALSE)</f>
        <v>#N/A</v>
      </c>
      <c r="L18" t="e">
        <f>VLOOKUP(A18,IC_raw!$C$2:$E$111,2,FALSE)</f>
        <v>#N/A</v>
      </c>
    </row>
    <row r="19" spans="1:13" x14ac:dyDescent="0.2">
      <c r="A19" t="s">
        <v>60</v>
      </c>
      <c r="B19" s="1">
        <f t="shared" si="1"/>
        <v>45926.96597222222</v>
      </c>
      <c r="C19" s="1">
        <f t="shared" si="2"/>
        <v>45927.21597222222</v>
      </c>
      <c r="D19">
        <v>18.12</v>
      </c>
      <c r="E19">
        <f t="shared" si="0"/>
        <v>1.8950000000000002</v>
      </c>
      <c r="K19" t="e">
        <f>VLOOKUP(A19,IC_raw!$C$2:$E$111,3,FALSE)</f>
        <v>#N/A</v>
      </c>
      <c r="L19" t="e">
        <f>VLOOKUP(A19,IC_raw!$C$2:$E$111,2,FALSE)</f>
        <v>#N/A</v>
      </c>
    </row>
    <row r="20" spans="1:13" x14ac:dyDescent="0.2">
      <c r="A20" t="s">
        <v>61</v>
      </c>
      <c r="B20" s="1">
        <f t="shared" si="1"/>
        <v>45927.21597222222</v>
      </c>
      <c r="C20" s="1">
        <f t="shared" si="2"/>
        <v>45927.46597222222</v>
      </c>
      <c r="D20">
        <v>18.14</v>
      </c>
      <c r="E20">
        <f t="shared" si="0"/>
        <v>1.8983333333333334</v>
      </c>
      <c r="K20" t="e">
        <f>VLOOKUP(A20,IC_raw!$C$2:$E$111,3,FALSE)</f>
        <v>#N/A</v>
      </c>
      <c r="L20" t="e">
        <f>VLOOKUP(A20,IC_raw!$C$2:$E$111,2,FALSE)</f>
        <v>#N/A</v>
      </c>
    </row>
    <row r="21" spans="1:13" x14ac:dyDescent="0.2">
      <c r="A21" t="s">
        <v>62</v>
      </c>
      <c r="B21" s="1">
        <f t="shared" si="1"/>
        <v>45927.46597222222</v>
      </c>
      <c r="C21" s="1">
        <f t="shared" si="2"/>
        <v>45927.71597222222</v>
      </c>
      <c r="D21">
        <v>18.22</v>
      </c>
      <c r="E21">
        <f t="shared" si="0"/>
        <v>1.9116666666666664</v>
      </c>
      <c r="K21" t="e">
        <f>VLOOKUP(A21,IC_raw!$C$2:$E$111,3,FALSE)</f>
        <v>#N/A</v>
      </c>
      <c r="L21" t="e">
        <f>VLOOKUP(A21,IC_raw!$C$2:$E$111,2,FALSE)</f>
        <v>#N/A</v>
      </c>
    </row>
    <row r="22" spans="1:13" x14ac:dyDescent="0.2">
      <c r="A22" t="s">
        <v>63</v>
      </c>
      <c r="B22" s="1">
        <f t="shared" si="1"/>
        <v>45927.71597222222</v>
      </c>
      <c r="C22" s="1">
        <f t="shared" si="2"/>
        <v>45927.96597222222</v>
      </c>
      <c r="D22">
        <v>18.260000000000002</v>
      </c>
      <c r="E22">
        <f t="shared" si="0"/>
        <v>1.9183333333333337</v>
      </c>
      <c r="K22" t="e">
        <f>VLOOKUP(A22,IC_raw!$C$2:$E$111,3,FALSE)</f>
        <v>#N/A</v>
      </c>
      <c r="L22" t="e">
        <f>VLOOKUP(A22,IC_raw!$C$2:$E$111,2,FALSE)</f>
        <v>#N/A</v>
      </c>
    </row>
    <row r="23" spans="1:13" x14ac:dyDescent="0.2">
      <c r="A23" t="s">
        <v>64</v>
      </c>
      <c r="B23" s="1">
        <f t="shared" si="1"/>
        <v>45927.96597222222</v>
      </c>
      <c r="C23" s="1">
        <f t="shared" si="2"/>
        <v>45928.21597222222</v>
      </c>
      <c r="D23">
        <v>18.2</v>
      </c>
      <c r="E23">
        <f t="shared" si="0"/>
        <v>1.9083333333333332</v>
      </c>
      <c r="K23" t="e">
        <f>VLOOKUP(A23,IC_raw!$C$2:$E$111,3,FALSE)</f>
        <v>#N/A</v>
      </c>
      <c r="L23" t="e">
        <f>VLOOKUP(A23,IC_raw!$C$2:$E$111,2,FALSE)</f>
        <v>#N/A</v>
      </c>
    </row>
    <row r="24" spans="1:13" x14ac:dyDescent="0.2">
      <c r="A24" t="s">
        <v>65</v>
      </c>
      <c r="B24" s="1">
        <f t="shared" si="1"/>
        <v>45928.21597222222</v>
      </c>
      <c r="C24" s="1">
        <f t="shared" si="2"/>
        <v>45928.46597222222</v>
      </c>
      <c r="D24">
        <v>18.260000000000002</v>
      </c>
      <c r="E24">
        <f t="shared" si="0"/>
        <v>1.9183333333333337</v>
      </c>
      <c r="F24">
        <v>8.31</v>
      </c>
      <c r="G24">
        <v>852</v>
      </c>
      <c r="H24">
        <v>14</v>
      </c>
      <c r="I24">
        <f>3/62*14</f>
        <v>0.67741935483870963</v>
      </c>
      <c r="K24">
        <f>VLOOKUP(A24,IC_raw!$C$2:$E$111,3,FALSE)</f>
        <v>0.94</v>
      </c>
      <c r="L24">
        <f>VLOOKUP(A24,IC_raw!$C$2:$E$111,2,FALSE)</f>
        <v>61.3</v>
      </c>
    </row>
    <row r="25" spans="1:13" x14ac:dyDescent="0.2">
      <c r="A25" t="s">
        <v>66</v>
      </c>
      <c r="B25" s="1">
        <f t="shared" si="1"/>
        <v>45928.46597222222</v>
      </c>
      <c r="C25" s="1">
        <f t="shared" si="2"/>
        <v>45928.71597222222</v>
      </c>
      <c r="D25">
        <v>18.350000000000001</v>
      </c>
      <c r="E25">
        <f t="shared" si="0"/>
        <v>1.9333333333333336</v>
      </c>
      <c r="K25" t="e">
        <f>VLOOKUP(A25,IC_raw!$C$2:$E$111,3,FALSE)</f>
        <v>#N/A</v>
      </c>
      <c r="L25" t="e">
        <f>VLOOKUP(A25,IC_raw!$C$2:$E$111,2,FALSE)</f>
        <v>#N/A</v>
      </c>
    </row>
    <row r="26" spans="1:13" x14ac:dyDescent="0.2">
      <c r="A26" t="s">
        <v>67</v>
      </c>
      <c r="B26" s="1">
        <f t="shared" si="1"/>
        <v>45928.71597222222</v>
      </c>
      <c r="C26" s="1">
        <f t="shared" si="2"/>
        <v>45928.96597222222</v>
      </c>
      <c r="D26">
        <v>18.22</v>
      </c>
      <c r="E26">
        <f t="shared" si="0"/>
        <v>1.9116666666666664</v>
      </c>
      <c r="K26" t="e">
        <f>VLOOKUP(A26,IC_raw!$C$2:$E$111,3,FALSE)</f>
        <v>#N/A</v>
      </c>
      <c r="L26" t="e">
        <f>VLOOKUP(A26,IC_raw!$C$2:$E$111,2,FALSE)</f>
        <v>#N/A</v>
      </c>
    </row>
    <row r="27" spans="1:13" x14ac:dyDescent="0.2">
      <c r="A27" t="s">
        <v>68</v>
      </c>
      <c r="B27" s="1">
        <f t="shared" si="1"/>
        <v>45928.96597222222</v>
      </c>
      <c r="C27" s="1">
        <f t="shared" si="2"/>
        <v>45929.21597222222</v>
      </c>
      <c r="D27">
        <v>18.29</v>
      </c>
      <c r="E27">
        <f t="shared" si="0"/>
        <v>1.9233333333333331</v>
      </c>
      <c r="K27" t="e">
        <f>VLOOKUP(A27,IC_raw!$C$2:$E$111,3,FALSE)</f>
        <v>#N/A</v>
      </c>
      <c r="L27" t="e">
        <f>VLOOKUP(A27,IC_raw!$C$2:$E$111,2,FALSE)</f>
        <v>#N/A</v>
      </c>
    </row>
    <row r="28" spans="1:13" x14ac:dyDescent="0.2">
      <c r="A28" t="s">
        <v>69</v>
      </c>
      <c r="B28" s="1">
        <f t="shared" si="1"/>
        <v>45929.21597222222</v>
      </c>
      <c r="C28" s="1">
        <f t="shared" si="2"/>
        <v>45929.46597222222</v>
      </c>
      <c r="D28">
        <v>18.190000000000001</v>
      </c>
      <c r="E28">
        <f t="shared" si="0"/>
        <v>1.906666666666667</v>
      </c>
      <c r="F28">
        <v>8.2200000000000006</v>
      </c>
      <c r="G28">
        <v>924</v>
      </c>
      <c r="H28">
        <v>14.4</v>
      </c>
      <c r="I28">
        <f>3/62*14</f>
        <v>0.67741935483870963</v>
      </c>
      <c r="K28">
        <f>VLOOKUP(A28,IC_raw!$C$2:$E$111,3,FALSE)</f>
        <v>1.08</v>
      </c>
      <c r="L28">
        <f>VLOOKUP(A28,IC_raw!$C$2:$E$111,2,FALSE)</f>
        <v>61.71</v>
      </c>
      <c r="M28" t="s">
        <v>186</v>
      </c>
    </row>
    <row r="29" spans="1:13" x14ac:dyDescent="0.2">
      <c r="A29" t="s">
        <v>70</v>
      </c>
      <c r="B29" s="1">
        <f t="shared" si="1"/>
        <v>45929.46597222222</v>
      </c>
      <c r="C29" s="1">
        <f t="shared" si="2"/>
        <v>45929.71597222222</v>
      </c>
      <c r="D29">
        <v>20.87</v>
      </c>
      <c r="E29">
        <f t="shared" si="0"/>
        <v>2.3533333333333335</v>
      </c>
      <c r="K29" t="e">
        <f>VLOOKUP(A29,IC_raw!$C$2:$E$111,3,FALSE)</f>
        <v>#N/A</v>
      </c>
      <c r="L29" t="e">
        <f>VLOOKUP(A29,IC_raw!$C$2:$E$111,2,FALSE)</f>
        <v>#N/A</v>
      </c>
    </row>
    <row r="30" spans="1:13" x14ac:dyDescent="0.2">
      <c r="A30" t="s">
        <v>71</v>
      </c>
      <c r="B30" s="1">
        <f t="shared" si="1"/>
        <v>45929.71597222222</v>
      </c>
      <c r="C30" s="1">
        <f t="shared" si="2"/>
        <v>45929.96597222222</v>
      </c>
      <c r="D30">
        <v>20.440000000000001</v>
      </c>
      <c r="E30">
        <f t="shared" si="0"/>
        <v>2.2816666666666667</v>
      </c>
      <c r="K30" t="e">
        <f>VLOOKUP(A30,IC_raw!$C$2:$E$111,3,FALSE)</f>
        <v>#N/A</v>
      </c>
      <c r="L30" t="e">
        <f>VLOOKUP(A30,IC_raw!$C$2:$E$111,2,FALSE)</f>
        <v>#N/A</v>
      </c>
    </row>
    <row r="31" spans="1:13" x14ac:dyDescent="0.2">
      <c r="A31" t="s">
        <v>72</v>
      </c>
      <c r="B31" s="1">
        <f t="shared" si="1"/>
        <v>45929.96597222222</v>
      </c>
      <c r="C31" s="1">
        <f t="shared" si="2"/>
        <v>45930.21597222222</v>
      </c>
      <c r="D31">
        <v>19.420000000000002</v>
      </c>
      <c r="E31">
        <f t="shared" si="0"/>
        <v>2.1116666666666668</v>
      </c>
      <c r="K31" t="e">
        <f>VLOOKUP(A31,IC_raw!$C$2:$E$111,3,FALSE)</f>
        <v>#N/A</v>
      </c>
      <c r="L31" t="e">
        <f>VLOOKUP(A31,IC_raw!$C$2:$E$111,2,FALSE)</f>
        <v>#N/A</v>
      </c>
    </row>
    <row r="32" spans="1:13" x14ac:dyDescent="0.2">
      <c r="A32" t="s">
        <v>73</v>
      </c>
      <c r="B32" s="1">
        <f t="shared" si="1"/>
        <v>45930.21597222222</v>
      </c>
      <c r="C32" s="1">
        <f t="shared" si="2"/>
        <v>45930.46597222222</v>
      </c>
      <c r="D32">
        <v>19.97</v>
      </c>
      <c r="E32">
        <f t="shared" si="0"/>
        <v>2.2033333333333331</v>
      </c>
      <c r="K32" t="e">
        <f>VLOOKUP(A32,IC_raw!$C$2:$E$111,3,FALSE)</f>
        <v>#N/A</v>
      </c>
      <c r="L32" t="e">
        <f>VLOOKUP(A32,IC_raw!$C$2:$E$111,2,FALSE)</f>
        <v>#N/A</v>
      </c>
    </row>
    <row r="33" spans="1:12" x14ac:dyDescent="0.2">
      <c r="A33" t="s">
        <v>74</v>
      </c>
      <c r="B33" s="1">
        <f t="shared" si="1"/>
        <v>45930.46597222222</v>
      </c>
      <c r="C33" s="1">
        <f t="shared" si="2"/>
        <v>45930.71597222222</v>
      </c>
      <c r="K33" t="e">
        <f>VLOOKUP(A33,IC_raw!$C$2:$E$111,3,FALSE)</f>
        <v>#N/A</v>
      </c>
      <c r="L33" t="e">
        <f>VLOOKUP(A33,IC_raw!$C$2:$E$111,2,FALSE)</f>
        <v>#N/A</v>
      </c>
    </row>
    <row r="34" spans="1:12" x14ac:dyDescent="0.2">
      <c r="A34" t="s">
        <v>75</v>
      </c>
      <c r="B34" s="1">
        <f t="shared" si="1"/>
        <v>45930.71597222222</v>
      </c>
      <c r="C34" s="1">
        <f t="shared" si="2"/>
        <v>45930.96597222222</v>
      </c>
      <c r="D34">
        <v>19.61</v>
      </c>
      <c r="E34">
        <f t="shared" si="0"/>
        <v>2.1433333333333331</v>
      </c>
      <c r="K34" t="e">
        <f>VLOOKUP(A34,IC_raw!$C$2:$E$111,3,FALSE)</f>
        <v>#N/A</v>
      </c>
      <c r="L34" t="e">
        <f>VLOOKUP(A34,IC_raw!$C$2:$E$111,2,FALSE)</f>
        <v>#N/A</v>
      </c>
    </row>
    <row r="35" spans="1:12" x14ac:dyDescent="0.2">
      <c r="A35" t="s">
        <v>76</v>
      </c>
      <c r="B35" s="1">
        <f t="shared" si="1"/>
        <v>45930.96597222222</v>
      </c>
      <c r="C35" s="1">
        <f t="shared" si="2"/>
        <v>45931.21597222222</v>
      </c>
      <c r="D35">
        <v>19.5</v>
      </c>
      <c r="E35">
        <f t="shared" si="0"/>
        <v>2.125</v>
      </c>
      <c r="K35" t="e">
        <f>VLOOKUP(A35,IC_raw!$C$2:$E$111,3,FALSE)</f>
        <v>#N/A</v>
      </c>
      <c r="L35" t="e">
        <f>VLOOKUP(A35,IC_raw!$C$2:$E$111,2,FALSE)</f>
        <v>#N/A</v>
      </c>
    </row>
    <row r="36" spans="1:12" x14ac:dyDescent="0.2">
      <c r="A36" t="s">
        <v>77</v>
      </c>
      <c r="B36" s="1">
        <f t="shared" si="1"/>
        <v>45931.21597222222</v>
      </c>
      <c r="C36" s="1">
        <f t="shared" si="2"/>
        <v>45931.46597222222</v>
      </c>
      <c r="D36">
        <v>19.39</v>
      </c>
      <c r="E36">
        <f t="shared" si="0"/>
        <v>2.1066666666666669</v>
      </c>
      <c r="F36">
        <v>8.14</v>
      </c>
      <c r="G36">
        <v>897</v>
      </c>
      <c r="H36">
        <v>18.100000000000001</v>
      </c>
      <c r="I36">
        <f>3/62*14</f>
        <v>0.67741935483870963</v>
      </c>
      <c r="K36">
        <f>VLOOKUP(A36,IC_raw!$C$2:$E$111,3,FALSE)</f>
        <v>0.95</v>
      </c>
      <c r="L36">
        <f>VLOOKUP(A36,IC_raw!$C$2:$E$111,2,FALSE)</f>
        <v>81.28</v>
      </c>
    </row>
    <row r="37" spans="1:12" x14ac:dyDescent="0.2">
      <c r="A37" t="s">
        <v>199</v>
      </c>
      <c r="B37" s="1">
        <f t="shared" ref="B37:B49" si="3">C36</f>
        <v>45931.46597222222</v>
      </c>
      <c r="C37" s="1">
        <f t="shared" ref="C37:C49" si="4">B37+6/24</f>
        <v>45931.71597222222</v>
      </c>
      <c r="D37">
        <v>18.690000000000001</v>
      </c>
      <c r="E37">
        <f t="shared" si="0"/>
        <v>1.9900000000000002</v>
      </c>
      <c r="K37" t="e">
        <f>VLOOKUP(A37,IC_raw!$C$2:$E$111,3,FALSE)</f>
        <v>#N/A</v>
      </c>
      <c r="L37" t="e">
        <f>VLOOKUP(A37,IC_raw!$C$2:$E$111,2,FALSE)</f>
        <v>#N/A</v>
      </c>
    </row>
    <row r="38" spans="1:12" x14ac:dyDescent="0.2">
      <c r="A38" t="s">
        <v>200</v>
      </c>
      <c r="B38" s="1">
        <f t="shared" si="3"/>
        <v>45931.71597222222</v>
      </c>
      <c r="C38" s="1">
        <f t="shared" si="4"/>
        <v>45931.96597222222</v>
      </c>
      <c r="D38">
        <v>18.61</v>
      </c>
      <c r="E38">
        <f t="shared" si="0"/>
        <v>1.9766666666666666</v>
      </c>
      <c r="K38" t="e">
        <f>VLOOKUP(A38,IC_raw!$C$2:$E$111,3,FALSE)</f>
        <v>#N/A</v>
      </c>
      <c r="L38" t="e">
        <f>VLOOKUP(A38,IC_raw!$C$2:$E$111,2,FALSE)</f>
        <v>#N/A</v>
      </c>
    </row>
    <row r="39" spans="1:12" x14ac:dyDescent="0.2">
      <c r="A39" t="s">
        <v>201</v>
      </c>
      <c r="B39" s="1">
        <f t="shared" si="3"/>
        <v>45931.96597222222</v>
      </c>
      <c r="C39" s="1">
        <f t="shared" si="4"/>
        <v>45932.21597222222</v>
      </c>
      <c r="D39">
        <v>18.55</v>
      </c>
      <c r="E39">
        <f t="shared" si="0"/>
        <v>1.9666666666666668</v>
      </c>
      <c r="K39" t="e">
        <f>VLOOKUP(A39,IC_raw!$C$2:$E$111,3,FALSE)</f>
        <v>#N/A</v>
      </c>
      <c r="L39" t="e">
        <f>VLOOKUP(A39,IC_raw!$C$2:$E$111,2,FALSE)</f>
        <v>#N/A</v>
      </c>
    </row>
    <row r="40" spans="1:12" x14ac:dyDescent="0.2">
      <c r="A40" t="s">
        <v>202</v>
      </c>
      <c r="B40" s="1">
        <f t="shared" si="3"/>
        <v>45932.21597222222</v>
      </c>
      <c r="C40" s="1">
        <f t="shared" si="4"/>
        <v>45932.46597222222</v>
      </c>
      <c r="D40">
        <v>18.52</v>
      </c>
      <c r="E40">
        <f t="shared" si="0"/>
        <v>1.9616666666666667</v>
      </c>
      <c r="F40">
        <v>8.2200000000000006</v>
      </c>
      <c r="G40">
        <v>866</v>
      </c>
      <c r="H40">
        <v>18.100000000000001</v>
      </c>
      <c r="I40">
        <f>3/62*14</f>
        <v>0.67741935483870963</v>
      </c>
      <c r="K40">
        <f>VLOOKUP(A40,IC_raw!$C$2:$E$111,3,FALSE)</f>
        <v>0.94</v>
      </c>
      <c r="L40">
        <f>VLOOKUP(A40,IC_raw!$C$2:$E$111,2,FALSE)</f>
        <v>75.97</v>
      </c>
    </row>
    <row r="41" spans="1:12" x14ac:dyDescent="0.2">
      <c r="A41" t="s">
        <v>203</v>
      </c>
      <c r="B41" s="1">
        <f t="shared" si="3"/>
        <v>45932.46597222222</v>
      </c>
      <c r="C41" s="1">
        <f t="shared" si="4"/>
        <v>45932.71597222222</v>
      </c>
      <c r="D41">
        <v>18.54</v>
      </c>
      <c r="E41">
        <f t="shared" si="0"/>
        <v>1.9649999999999999</v>
      </c>
      <c r="K41" t="e">
        <f>VLOOKUP(A41,IC_raw!$C$2:$E$111,3,FALSE)</f>
        <v>#N/A</v>
      </c>
      <c r="L41" t="e">
        <f>VLOOKUP(A41,IC_raw!$C$2:$E$111,2,FALSE)</f>
        <v>#N/A</v>
      </c>
    </row>
    <row r="42" spans="1:12" x14ac:dyDescent="0.2">
      <c r="A42" t="s">
        <v>204</v>
      </c>
      <c r="B42" s="1">
        <f t="shared" si="3"/>
        <v>45932.71597222222</v>
      </c>
      <c r="C42" s="1">
        <f t="shared" si="4"/>
        <v>45932.96597222222</v>
      </c>
      <c r="D42">
        <v>18.28</v>
      </c>
      <c r="E42">
        <f t="shared" si="0"/>
        <v>1.9216666666666669</v>
      </c>
      <c r="K42" t="e">
        <f>VLOOKUP(A42,IC_raw!$C$2:$E$111,3,FALSE)</f>
        <v>#N/A</v>
      </c>
      <c r="L42" t="e">
        <f>VLOOKUP(A42,IC_raw!$C$2:$E$111,2,FALSE)</f>
        <v>#N/A</v>
      </c>
    </row>
    <row r="43" spans="1:12" x14ac:dyDescent="0.2">
      <c r="A43" t="s">
        <v>205</v>
      </c>
      <c r="B43" s="1">
        <f t="shared" si="3"/>
        <v>45932.96597222222</v>
      </c>
      <c r="C43" s="1">
        <f t="shared" si="4"/>
        <v>45933.21597222222</v>
      </c>
      <c r="D43">
        <v>18.28</v>
      </c>
      <c r="E43">
        <f t="shared" si="0"/>
        <v>1.9216666666666669</v>
      </c>
      <c r="K43" t="e">
        <f>VLOOKUP(A43,IC_raw!$C$2:$E$111,3,FALSE)</f>
        <v>#N/A</v>
      </c>
      <c r="L43" t="e">
        <f>VLOOKUP(A43,IC_raw!$C$2:$E$111,2,FALSE)</f>
        <v>#N/A</v>
      </c>
    </row>
    <row r="44" spans="1:12" x14ac:dyDescent="0.2">
      <c r="A44" t="s">
        <v>206</v>
      </c>
      <c r="B44" s="1">
        <f t="shared" si="3"/>
        <v>45933.21597222222</v>
      </c>
      <c r="C44" s="1">
        <f t="shared" si="4"/>
        <v>45933.46597222222</v>
      </c>
      <c r="D44">
        <v>18.3</v>
      </c>
      <c r="E44">
        <f t="shared" si="0"/>
        <v>1.925</v>
      </c>
      <c r="H44">
        <v>17.8</v>
      </c>
      <c r="I44">
        <f>3/62*14</f>
        <v>0.67741935483870963</v>
      </c>
      <c r="K44">
        <f>VLOOKUP(A44,IC_raw!$C$2:$E$111,3,FALSE)</f>
        <v>0.93</v>
      </c>
      <c r="L44">
        <f>VLOOKUP(A44,IC_raw!$C$2:$E$111,2,FALSE)</f>
        <v>81.02</v>
      </c>
    </row>
    <row r="45" spans="1:12" x14ac:dyDescent="0.2">
      <c r="A45" t="s">
        <v>207</v>
      </c>
      <c r="B45" s="1">
        <f t="shared" si="3"/>
        <v>45933.46597222222</v>
      </c>
      <c r="C45" s="1">
        <f t="shared" si="4"/>
        <v>45933.71597222222</v>
      </c>
      <c r="D45">
        <v>18.329999999999998</v>
      </c>
      <c r="E45">
        <f t="shared" si="0"/>
        <v>1.9299999999999997</v>
      </c>
      <c r="K45" t="e">
        <f>VLOOKUP(A45,IC_raw!$C$2:$E$111,3,FALSE)</f>
        <v>#N/A</v>
      </c>
      <c r="L45" t="e">
        <f>VLOOKUP(A45,IC_raw!$C$2:$E$111,2,FALSE)</f>
        <v>#N/A</v>
      </c>
    </row>
    <row r="46" spans="1:12" x14ac:dyDescent="0.2">
      <c r="A46" t="s">
        <v>208</v>
      </c>
      <c r="B46" s="1">
        <f t="shared" si="3"/>
        <v>45933.71597222222</v>
      </c>
      <c r="C46" s="1">
        <f t="shared" si="4"/>
        <v>45933.96597222222</v>
      </c>
      <c r="D46">
        <v>17.13</v>
      </c>
      <c r="E46">
        <f t="shared" si="0"/>
        <v>1.7299999999999998</v>
      </c>
      <c r="K46" t="e">
        <f>VLOOKUP(A46,IC_raw!$C$2:$E$111,3,FALSE)</f>
        <v>#N/A</v>
      </c>
      <c r="L46" t="e">
        <f>VLOOKUP(A46,IC_raw!$C$2:$E$111,2,FALSE)</f>
        <v>#N/A</v>
      </c>
    </row>
    <row r="47" spans="1:12" x14ac:dyDescent="0.2">
      <c r="A47" t="s">
        <v>209</v>
      </c>
      <c r="B47" s="1">
        <f t="shared" si="3"/>
        <v>45933.96597222222</v>
      </c>
      <c r="C47" s="1">
        <f t="shared" si="4"/>
        <v>45934.21597222222</v>
      </c>
      <c r="D47">
        <v>18.28</v>
      </c>
      <c r="E47">
        <f t="shared" si="0"/>
        <v>1.9216666666666669</v>
      </c>
      <c r="K47" t="e">
        <f>VLOOKUP(A47,IC_raw!$C$2:$E$111,3,FALSE)</f>
        <v>#N/A</v>
      </c>
      <c r="L47" t="e">
        <f>VLOOKUP(A47,IC_raw!$C$2:$E$111,2,FALSE)</f>
        <v>#N/A</v>
      </c>
    </row>
    <row r="48" spans="1:12" x14ac:dyDescent="0.2">
      <c r="A48" t="s">
        <v>210</v>
      </c>
      <c r="B48" s="1">
        <f t="shared" si="3"/>
        <v>45934.21597222222</v>
      </c>
      <c r="C48" s="1">
        <f t="shared" si="4"/>
        <v>45934.46597222222</v>
      </c>
      <c r="D48">
        <v>18.309999999999999</v>
      </c>
      <c r="E48">
        <f t="shared" si="0"/>
        <v>1.9266666666666665</v>
      </c>
      <c r="F48">
        <v>8.32</v>
      </c>
      <c r="G48">
        <v>855</v>
      </c>
      <c r="H48">
        <v>14.9</v>
      </c>
      <c r="I48">
        <f>3/62*14</f>
        <v>0.67741935483870963</v>
      </c>
      <c r="K48">
        <f>VLOOKUP(A48,IC_raw!$C$2:$E$111,3,FALSE)</f>
        <v>0.94</v>
      </c>
      <c r="L48">
        <f>VLOOKUP(A48,IC_raw!$C$2:$E$111,2,FALSE)</f>
        <v>79.23</v>
      </c>
    </row>
    <row r="49" spans="1:12" x14ac:dyDescent="0.2">
      <c r="A49" t="s">
        <v>211</v>
      </c>
      <c r="B49" s="1">
        <f t="shared" si="3"/>
        <v>45934.46597222222</v>
      </c>
      <c r="C49" s="1">
        <f t="shared" si="4"/>
        <v>45934.71597222222</v>
      </c>
      <c r="D49">
        <v>17.97</v>
      </c>
      <c r="E49">
        <f t="shared" si="0"/>
        <v>1.8699999999999999</v>
      </c>
      <c r="K49" t="e">
        <f>VLOOKUP(A49,IC_raw!$C$2:$E$111,3,FALSE)</f>
        <v>#N/A</v>
      </c>
      <c r="L49" t="e">
        <f>VLOOKUP(A49,IC_raw!$C$2:$E$111,2,FALSE)</f>
        <v>#N/A</v>
      </c>
    </row>
    <row r="50" spans="1:12" x14ac:dyDescent="0.2">
      <c r="A50" t="s">
        <v>212</v>
      </c>
      <c r="B50" s="1">
        <f t="shared" ref="B50:B56" si="5">C49</f>
        <v>45934.71597222222</v>
      </c>
      <c r="C50" s="1">
        <f t="shared" ref="C50:C56" si="6">B50+6/24</f>
        <v>45934.96597222222</v>
      </c>
      <c r="D50">
        <v>18.010000000000002</v>
      </c>
      <c r="E50">
        <f t="shared" si="0"/>
        <v>1.8766666666666669</v>
      </c>
      <c r="K50" t="e">
        <f>VLOOKUP(A50,IC_raw!$C$2:$E$111,3,FALSE)</f>
        <v>#N/A</v>
      </c>
      <c r="L50" t="e">
        <f>VLOOKUP(A50,IC_raw!$C$2:$E$111,2,FALSE)</f>
        <v>#N/A</v>
      </c>
    </row>
    <row r="51" spans="1:12" x14ac:dyDescent="0.2">
      <c r="A51" t="s">
        <v>213</v>
      </c>
      <c r="B51" s="1">
        <f t="shared" si="5"/>
        <v>45934.96597222222</v>
      </c>
      <c r="C51" s="1">
        <f t="shared" si="6"/>
        <v>45935.21597222222</v>
      </c>
      <c r="D51">
        <v>18.079999999999998</v>
      </c>
      <c r="E51">
        <f t="shared" si="0"/>
        <v>1.888333333333333</v>
      </c>
      <c r="K51" t="e">
        <f>VLOOKUP(A51,IC_raw!$C$2:$E$111,3,FALSE)</f>
        <v>#N/A</v>
      </c>
      <c r="L51" t="e">
        <f>VLOOKUP(A51,IC_raw!$C$2:$E$111,2,FALSE)</f>
        <v>#N/A</v>
      </c>
    </row>
    <row r="52" spans="1:12" x14ac:dyDescent="0.2">
      <c r="A52" t="s">
        <v>214</v>
      </c>
      <c r="B52" s="1">
        <f t="shared" si="5"/>
        <v>45935.21597222222</v>
      </c>
      <c r="C52" s="1">
        <f t="shared" si="6"/>
        <v>45935.46597222222</v>
      </c>
      <c r="D52">
        <v>18.010000000000002</v>
      </c>
      <c r="E52">
        <f t="shared" si="0"/>
        <v>1.8766666666666669</v>
      </c>
      <c r="K52" t="e">
        <f>VLOOKUP(A52,IC_raw!$C$2:$E$111,3,FALSE)</f>
        <v>#N/A</v>
      </c>
      <c r="L52" t="e">
        <f>VLOOKUP(A52,IC_raw!$C$2:$E$111,2,FALSE)</f>
        <v>#N/A</v>
      </c>
    </row>
    <row r="53" spans="1:12" x14ac:dyDescent="0.2">
      <c r="A53" t="s">
        <v>215</v>
      </c>
      <c r="B53" s="1">
        <f t="shared" si="5"/>
        <v>45935.46597222222</v>
      </c>
      <c r="C53" s="1">
        <f t="shared" si="6"/>
        <v>45935.71597222222</v>
      </c>
      <c r="D53">
        <v>18.04</v>
      </c>
      <c r="E53">
        <f t="shared" si="0"/>
        <v>1.8816666666666666</v>
      </c>
      <c r="K53" t="e">
        <f>VLOOKUP(A53,IC_raw!$C$2:$E$111,3,FALSE)</f>
        <v>#N/A</v>
      </c>
      <c r="L53" t="e">
        <f>VLOOKUP(A53,IC_raw!$C$2:$E$111,2,FALSE)</f>
        <v>#N/A</v>
      </c>
    </row>
    <row r="54" spans="1:12" x14ac:dyDescent="0.2">
      <c r="A54" t="s">
        <v>216</v>
      </c>
      <c r="B54" s="1">
        <f t="shared" si="5"/>
        <v>45935.71597222222</v>
      </c>
      <c r="C54" s="1">
        <f t="shared" si="6"/>
        <v>45935.96597222222</v>
      </c>
      <c r="D54">
        <v>18.03</v>
      </c>
      <c r="E54">
        <f t="shared" si="0"/>
        <v>1.8800000000000001</v>
      </c>
      <c r="K54" t="e">
        <f>VLOOKUP(A54,IC_raw!$C$2:$E$111,3,FALSE)</f>
        <v>#N/A</v>
      </c>
      <c r="L54" t="e">
        <f>VLOOKUP(A54,IC_raw!$C$2:$E$111,2,FALSE)</f>
        <v>#N/A</v>
      </c>
    </row>
    <row r="55" spans="1:12" x14ac:dyDescent="0.2">
      <c r="A55" t="s">
        <v>217</v>
      </c>
      <c r="B55" s="1">
        <f t="shared" si="5"/>
        <v>45935.96597222222</v>
      </c>
      <c r="C55" s="1">
        <f t="shared" si="6"/>
        <v>45936.21597222222</v>
      </c>
      <c r="D55">
        <v>18.04</v>
      </c>
      <c r="E55">
        <f t="shared" si="0"/>
        <v>1.8816666666666666</v>
      </c>
      <c r="K55" t="e">
        <f>VLOOKUP(A55,IC_raw!$C$2:$E$111,3,FALSE)</f>
        <v>#N/A</v>
      </c>
      <c r="L55" t="e">
        <f>VLOOKUP(A55,IC_raw!$C$2:$E$111,2,FALSE)</f>
        <v>#N/A</v>
      </c>
    </row>
    <row r="56" spans="1:12" x14ac:dyDescent="0.2">
      <c r="A56" t="s">
        <v>218</v>
      </c>
      <c r="B56" s="1">
        <f t="shared" si="5"/>
        <v>45936.21597222222</v>
      </c>
      <c r="C56" s="1">
        <f t="shared" si="6"/>
        <v>45936.46597222222</v>
      </c>
      <c r="D56">
        <v>18.04</v>
      </c>
      <c r="E56">
        <f t="shared" si="0"/>
        <v>1.8816666666666666</v>
      </c>
      <c r="F56">
        <v>8.3000000000000007</v>
      </c>
      <c r="G56">
        <v>832</v>
      </c>
      <c r="H56">
        <v>16.8</v>
      </c>
      <c r="I56">
        <f>3/62*14</f>
        <v>0.67741935483870963</v>
      </c>
      <c r="K56">
        <f>VLOOKUP(A56,IC_raw!$C$2:$E$111,3,FALSE)</f>
        <v>0.9</v>
      </c>
      <c r="L56">
        <f>VLOOKUP(A56,IC_raw!$C$2:$E$111,2,FALSE)</f>
        <v>74.36</v>
      </c>
    </row>
    <row r="57" spans="1:12" x14ac:dyDescent="0.2">
      <c r="A57" t="s">
        <v>279</v>
      </c>
      <c r="B57" s="1">
        <f t="shared" ref="B57:B64" si="7">C56</f>
        <v>45936.46597222222</v>
      </c>
      <c r="C57" s="1">
        <f t="shared" ref="C57:C64" si="8">B57+6/24</f>
        <v>45936.71597222222</v>
      </c>
      <c r="H57">
        <v>14.1</v>
      </c>
      <c r="I57">
        <f>3/62*14</f>
        <v>0.67741935483870963</v>
      </c>
      <c r="K57">
        <f>VLOOKUP(A57,IC_raw!$C$2:$E$111,3,FALSE)</f>
        <v>1.31</v>
      </c>
      <c r="L57">
        <f>VLOOKUP(A57,IC_raw!$C$2:$E$111,2,FALSE)</f>
        <v>63.42</v>
      </c>
    </row>
    <row r="58" spans="1:12" x14ac:dyDescent="0.2">
      <c r="A58" t="s">
        <v>280</v>
      </c>
      <c r="B58" s="1">
        <f t="shared" si="7"/>
        <v>45936.71597222222</v>
      </c>
      <c r="C58" s="1">
        <f t="shared" si="8"/>
        <v>45936.96597222222</v>
      </c>
      <c r="K58" t="e">
        <f>VLOOKUP(A58,IC_raw!$C$2:$E$111,3,FALSE)</f>
        <v>#N/A</v>
      </c>
      <c r="L58" t="e">
        <f>VLOOKUP(A58,IC_raw!$C$2:$E$111,2,FALSE)</f>
        <v>#N/A</v>
      </c>
    </row>
    <row r="59" spans="1:12" x14ac:dyDescent="0.2">
      <c r="A59" t="s">
        <v>281</v>
      </c>
      <c r="B59" s="1">
        <f t="shared" si="7"/>
        <v>45936.96597222222</v>
      </c>
      <c r="C59" s="1">
        <f t="shared" si="8"/>
        <v>45937.21597222222</v>
      </c>
      <c r="K59" t="e">
        <f>VLOOKUP(A59,IC_raw!$C$2:$E$111,3,FALSE)</f>
        <v>#N/A</v>
      </c>
      <c r="L59" t="e">
        <f>VLOOKUP(A59,IC_raw!$C$2:$E$111,2,FALSE)</f>
        <v>#N/A</v>
      </c>
    </row>
    <row r="60" spans="1:12" x14ac:dyDescent="0.2">
      <c r="A60" t="s">
        <v>282</v>
      </c>
      <c r="B60" s="1">
        <f t="shared" si="7"/>
        <v>45937.21597222222</v>
      </c>
      <c r="C60" s="1">
        <f t="shared" si="8"/>
        <v>45937.46597222222</v>
      </c>
      <c r="K60" t="e">
        <f>VLOOKUP(A60,IC_raw!$C$2:$E$111,3,FALSE)</f>
        <v>#N/A</v>
      </c>
      <c r="L60" t="e">
        <f>VLOOKUP(A60,IC_raw!$C$2:$E$111,2,FALSE)</f>
        <v>#N/A</v>
      </c>
    </row>
    <row r="61" spans="1:12" x14ac:dyDescent="0.2">
      <c r="A61" t="s">
        <v>283</v>
      </c>
      <c r="B61" s="1">
        <f t="shared" si="7"/>
        <v>45937.46597222222</v>
      </c>
      <c r="C61" s="1">
        <f t="shared" si="8"/>
        <v>45937.71597222222</v>
      </c>
      <c r="K61" t="e">
        <f>VLOOKUP(A61,IC_raw!$C$2:$E$111,3,FALSE)</f>
        <v>#N/A</v>
      </c>
      <c r="L61" t="e">
        <f>VLOOKUP(A61,IC_raw!$C$2:$E$111,2,FALSE)</f>
        <v>#N/A</v>
      </c>
    </row>
    <row r="62" spans="1:12" x14ac:dyDescent="0.2">
      <c r="A62" t="s">
        <v>284</v>
      </c>
      <c r="B62" s="1">
        <f t="shared" si="7"/>
        <v>45937.71597222222</v>
      </c>
      <c r="C62" s="1">
        <f t="shared" si="8"/>
        <v>45937.96597222222</v>
      </c>
      <c r="D62">
        <v>16.7</v>
      </c>
      <c r="E62">
        <f t="shared" ref="E62:E81" si="9">(D62-6.75)/6</f>
        <v>1.6583333333333332</v>
      </c>
      <c r="K62" t="e">
        <f>VLOOKUP(A62,IC_raw!$C$2:$E$111,3,FALSE)</f>
        <v>#N/A</v>
      </c>
      <c r="L62" t="e">
        <f>VLOOKUP(A62,IC_raw!$C$2:$E$111,2,FALSE)</f>
        <v>#N/A</v>
      </c>
    </row>
    <row r="63" spans="1:12" x14ac:dyDescent="0.2">
      <c r="A63" t="s">
        <v>285</v>
      </c>
      <c r="B63" s="1">
        <f t="shared" si="7"/>
        <v>45937.96597222222</v>
      </c>
      <c r="C63" s="1">
        <f t="shared" si="8"/>
        <v>45938.21597222222</v>
      </c>
      <c r="D63">
        <v>17.5</v>
      </c>
      <c r="E63">
        <f t="shared" si="9"/>
        <v>1.7916666666666667</v>
      </c>
      <c r="K63" t="e">
        <f>VLOOKUP(A63,IC_raw!$C$2:$E$111,3,FALSE)</f>
        <v>#N/A</v>
      </c>
      <c r="L63" t="e">
        <f>VLOOKUP(A63,IC_raw!$C$2:$E$111,2,FALSE)</f>
        <v>#N/A</v>
      </c>
    </row>
    <row r="64" spans="1:12" x14ac:dyDescent="0.2">
      <c r="A64" t="s">
        <v>286</v>
      </c>
      <c r="B64" s="1">
        <f t="shared" si="7"/>
        <v>45938.21597222222</v>
      </c>
      <c r="C64" s="1">
        <f t="shared" si="8"/>
        <v>45938.46597222222</v>
      </c>
      <c r="D64">
        <v>18.079999999999998</v>
      </c>
      <c r="E64">
        <f t="shared" si="9"/>
        <v>1.888333333333333</v>
      </c>
      <c r="F64">
        <v>8.1199999999999992</v>
      </c>
      <c r="G64">
        <v>773</v>
      </c>
      <c r="H64">
        <v>9.1199999999999992</v>
      </c>
      <c r="I64">
        <f>3/62*14</f>
        <v>0.67741935483870963</v>
      </c>
      <c r="K64">
        <f>VLOOKUP(A64,IC_raw!$C$2:$E$111,3,FALSE)</f>
        <v>0.9</v>
      </c>
      <c r="L64">
        <f>VLOOKUP(A64,IC_raw!$C$2:$E$111,2,FALSE)</f>
        <v>40.78</v>
      </c>
    </row>
    <row r="65" spans="1:12" x14ac:dyDescent="0.2">
      <c r="A65" t="s">
        <v>296</v>
      </c>
      <c r="B65" s="1">
        <f t="shared" ref="B65:B80" si="10">C64</f>
        <v>45938.46597222222</v>
      </c>
      <c r="C65" s="1">
        <f t="shared" ref="C65:C80" si="11">B65+6/24</f>
        <v>45938.71597222222</v>
      </c>
      <c r="D65">
        <v>18.38</v>
      </c>
      <c r="E65">
        <f t="shared" si="9"/>
        <v>1.9383333333333332</v>
      </c>
      <c r="K65" t="e">
        <f>VLOOKUP(A65,IC_raw!$C$2:$E$111,3,FALSE)</f>
        <v>#N/A</v>
      </c>
      <c r="L65" t="e">
        <f>VLOOKUP(A65,IC_raw!$C$2:$E$111,2,FALSE)</f>
        <v>#N/A</v>
      </c>
    </row>
    <row r="66" spans="1:12" x14ac:dyDescent="0.2">
      <c r="A66" t="s">
        <v>297</v>
      </c>
      <c r="B66" s="1">
        <f t="shared" si="10"/>
        <v>45938.71597222222</v>
      </c>
      <c r="C66" s="1">
        <f t="shared" si="11"/>
        <v>45938.96597222222</v>
      </c>
      <c r="D66">
        <v>18.45</v>
      </c>
      <c r="E66">
        <f t="shared" si="9"/>
        <v>1.95</v>
      </c>
      <c r="K66" t="e">
        <f>VLOOKUP(A66,IC_raw!$C$2:$E$111,3,FALSE)</f>
        <v>#N/A</v>
      </c>
      <c r="L66" t="e">
        <f>VLOOKUP(A66,IC_raw!$C$2:$E$111,2,FALSE)</f>
        <v>#N/A</v>
      </c>
    </row>
    <row r="67" spans="1:12" x14ac:dyDescent="0.2">
      <c r="A67" t="s">
        <v>298</v>
      </c>
      <c r="B67" s="1">
        <f t="shared" si="10"/>
        <v>45938.96597222222</v>
      </c>
      <c r="C67" s="1">
        <f t="shared" si="11"/>
        <v>45939.21597222222</v>
      </c>
      <c r="D67">
        <v>18.21</v>
      </c>
      <c r="E67">
        <f t="shared" si="9"/>
        <v>1.9100000000000001</v>
      </c>
      <c r="K67" t="e">
        <f>VLOOKUP(A67,IC_raw!$C$2:$E$111,3,FALSE)</f>
        <v>#N/A</v>
      </c>
      <c r="L67" t="e">
        <f>VLOOKUP(A67,IC_raw!$C$2:$E$111,2,FALSE)</f>
        <v>#N/A</v>
      </c>
    </row>
    <row r="68" spans="1:12" x14ac:dyDescent="0.2">
      <c r="A68" t="s">
        <v>299</v>
      </c>
      <c r="B68" s="1">
        <f t="shared" si="10"/>
        <v>45939.21597222222</v>
      </c>
      <c r="C68" s="1">
        <f t="shared" si="11"/>
        <v>45939.46597222222</v>
      </c>
      <c r="D68">
        <v>18.350000000000001</v>
      </c>
      <c r="E68">
        <f t="shared" si="9"/>
        <v>1.9333333333333336</v>
      </c>
      <c r="F68">
        <v>8.1999999999999993</v>
      </c>
      <c r="G68">
        <v>757</v>
      </c>
      <c r="H68">
        <v>9.66</v>
      </c>
      <c r="I68">
        <f>3/62*14</f>
        <v>0.67741935483870963</v>
      </c>
      <c r="K68">
        <f>VLOOKUP(A68,IC_raw!$C$2:$E$111,3,FALSE)</f>
        <v>0.89</v>
      </c>
      <c r="L68">
        <f>VLOOKUP(A68,IC_raw!$C$2:$E$111,2,FALSE)</f>
        <v>44.16</v>
      </c>
    </row>
    <row r="69" spans="1:12" x14ac:dyDescent="0.2">
      <c r="A69" t="s">
        <v>300</v>
      </c>
      <c r="B69" s="1">
        <f t="shared" si="10"/>
        <v>45939.46597222222</v>
      </c>
      <c r="C69" s="1">
        <f t="shared" si="11"/>
        <v>45939.71597222222</v>
      </c>
      <c r="D69">
        <v>18.27</v>
      </c>
      <c r="E69">
        <f t="shared" si="9"/>
        <v>1.92</v>
      </c>
      <c r="K69" t="e">
        <f>VLOOKUP(A69,IC_raw!$C$2:$E$111,3,FALSE)</f>
        <v>#N/A</v>
      </c>
      <c r="L69" t="e">
        <f>VLOOKUP(A69,IC_raw!$C$2:$E$111,2,FALSE)</f>
        <v>#N/A</v>
      </c>
    </row>
    <row r="70" spans="1:12" x14ac:dyDescent="0.2">
      <c r="A70" t="s">
        <v>301</v>
      </c>
      <c r="B70" s="1">
        <f t="shared" si="10"/>
        <v>45939.71597222222</v>
      </c>
      <c r="C70" s="1">
        <f t="shared" si="11"/>
        <v>45939.96597222222</v>
      </c>
      <c r="D70">
        <v>18.32</v>
      </c>
      <c r="E70">
        <f t="shared" si="9"/>
        <v>1.9283333333333335</v>
      </c>
      <c r="K70" t="e">
        <f>VLOOKUP(A70,IC_raw!$C$2:$E$111,3,FALSE)</f>
        <v>#N/A</v>
      </c>
      <c r="L70" t="e">
        <f>VLOOKUP(A70,IC_raw!$C$2:$E$111,2,FALSE)</f>
        <v>#N/A</v>
      </c>
    </row>
    <row r="71" spans="1:12" x14ac:dyDescent="0.2">
      <c r="A71" t="s">
        <v>302</v>
      </c>
      <c r="B71" s="1">
        <f t="shared" si="10"/>
        <v>45939.96597222222</v>
      </c>
      <c r="C71" s="1">
        <f t="shared" si="11"/>
        <v>45940.21597222222</v>
      </c>
      <c r="D71">
        <v>18.32</v>
      </c>
      <c r="E71">
        <f t="shared" si="9"/>
        <v>1.9283333333333335</v>
      </c>
      <c r="H71">
        <v>9.7200000000000006</v>
      </c>
      <c r="I71">
        <f>3/62*14</f>
        <v>0.67741935483870963</v>
      </c>
      <c r="K71">
        <f>VLOOKUP(A71,IC_raw!$C$2:$E$111,3,FALSE)</f>
        <v>0.92</v>
      </c>
      <c r="L71">
        <f>VLOOKUP(A71,IC_raw!$C$2:$E$111,2,FALSE)</f>
        <v>45.37</v>
      </c>
    </row>
    <row r="72" spans="1:12" x14ac:dyDescent="0.2">
      <c r="A72" t="s">
        <v>303</v>
      </c>
      <c r="B72" s="1">
        <f t="shared" si="10"/>
        <v>45940.21597222222</v>
      </c>
      <c r="C72" s="1">
        <f t="shared" si="11"/>
        <v>45940.46597222222</v>
      </c>
      <c r="D72">
        <v>18.37</v>
      </c>
      <c r="E72">
        <f t="shared" si="9"/>
        <v>1.9366666666666668</v>
      </c>
      <c r="K72" t="e">
        <f>VLOOKUP(A72,IC_raw!$C$2:$E$111,3,FALSE)</f>
        <v>#N/A</v>
      </c>
      <c r="L72" t="e">
        <f>VLOOKUP(A72,IC_raw!$C$2:$E$111,2,FALSE)</f>
        <v>#N/A</v>
      </c>
    </row>
    <row r="73" spans="1:12" x14ac:dyDescent="0.2">
      <c r="A73" t="s">
        <v>304</v>
      </c>
      <c r="B73" s="1">
        <f t="shared" si="10"/>
        <v>45940.46597222222</v>
      </c>
      <c r="C73" s="1">
        <f t="shared" si="11"/>
        <v>45940.71597222222</v>
      </c>
      <c r="D73">
        <v>17.440000000000001</v>
      </c>
      <c r="E73">
        <f t="shared" si="9"/>
        <v>1.781666666666667</v>
      </c>
      <c r="K73" t="e">
        <f>VLOOKUP(A73,IC_raw!$C$2:$E$111,3,FALSE)</f>
        <v>#N/A</v>
      </c>
      <c r="L73" t="e">
        <f>VLOOKUP(A73,IC_raw!$C$2:$E$111,2,FALSE)</f>
        <v>#N/A</v>
      </c>
    </row>
    <row r="74" spans="1:12" x14ac:dyDescent="0.2">
      <c r="A74" t="s">
        <v>305</v>
      </c>
      <c r="B74" s="1">
        <f t="shared" si="10"/>
        <v>45940.71597222222</v>
      </c>
      <c r="C74" s="1">
        <f t="shared" si="11"/>
        <v>45940.96597222222</v>
      </c>
      <c r="D74">
        <v>18.100000000000001</v>
      </c>
      <c r="E74">
        <f t="shared" si="9"/>
        <v>1.8916666666666668</v>
      </c>
      <c r="K74" t="e">
        <f>VLOOKUP(A74,IC_raw!$C$2:$E$111,3,FALSE)</f>
        <v>#N/A</v>
      </c>
      <c r="L74" t="e">
        <f>VLOOKUP(A74,IC_raw!$C$2:$E$111,2,FALSE)</f>
        <v>#N/A</v>
      </c>
    </row>
    <row r="75" spans="1:12" x14ac:dyDescent="0.2">
      <c r="A75" t="s">
        <v>306</v>
      </c>
      <c r="B75" s="1">
        <f t="shared" si="10"/>
        <v>45940.96597222222</v>
      </c>
      <c r="C75" s="1">
        <f t="shared" si="11"/>
        <v>45941.21597222222</v>
      </c>
      <c r="D75">
        <v>18.23</v>
      </c>
      <c r="E75">
        <f t="shared" si="9"/>
        <v>1.9133333333333333</v>
      </c>
      <c r="K75" t="e">
        <f>VLOOKUP(A75,IC_raw!$C$2:$E$111,3,FALSE)</f>
        <v>#N/A</v>
      </c>
      <c r="L75" t="e">
        <f>VLOOKUP(A75,IC_raw!$C$2:$E$111,2,FALSE)</f>
        <v>#N/A</v>
      </c>
    </row>
    <row r="76" spans="1:12" x14ac:dyDescent="0.2">
      <c r="A76" t="s">
        <v>307</v>
      </c>
      <c r="B76" s="1">
        <f t="shared" si="10"/>
        <v>45941.21597222222</v>
      </c>
      <c r="C76" s="1">
        <f t="shared" si="11"/>
        <v>45941.46597222222</v>
      </c>
      <c r="D76">
        <v>18.16</v>
      </c>
      <c r="E76">
        <f t="shared" si="9"/>
        <v>1.9016666666666666</v>
      </c>
      <c r="H76">
        <v>9.89</v>
      </c>
      <c r="I76">
        <f>3/62*14</f>
        <v>0.67741935483870963</v>
      </c>
      <c r="K76">
        <f>VLOOKUP(A76,IC_raw!$C$2:$E$111,3,FALSE)</f>
        <v>0.89</v>
      </c>
      <c r="L76">
        <f>VLOOKUP(A76,IC_raw!$C$2:$E$111,2,FALSE)</f>
        <v>45.91</v>
      </c>
    </row>
    <row r="77" spans="1:12" x14ac:dyDescent="0.2">
      <c r="A77" t="s">
        <v>308</v>
      </c>
      <c r="B77" s="1">
        <f t="shared" si="10"/>
        <v>45941.46597222222</v>
      </c>
      <c r="C77" s="1">
        <f t="shared" si="11"/>
        <v>45941.71597222222</v>
      </c>
      <c r="D77">
        <v>18.23</v>
      </c>
      <c r="E77">
        <f t="shared" si="9"/>
        <v>1.9133333333333333</v>
      </c>
      <c r="K77" t="e">
        <f>VLOOKUP(A77,IC_raw!$C$2:$E$111,3,FALSE)</f>
        <v>#N/A</v>
      </c>
      <c r="L77" t="e">
        <f>VLOOKUP(A77,IC_raw!$C$2:$E$111,2,FALSE)</f>
        <v>#N/A</v>
      </c>
    </row>
    <row r="78" spans="1:12" x14ac:dyDescent="0.2">
      <c r="A78" t="s">
        <v>309</v>
      </c>
      <c r="B78" s="1">
        <f t="shared" si="10"/>
        <v>45941.71597222222</v>
      </c>
      <c r="C78" s="1">
        <f t="shared" si="11"/>
        <v>45941.96597222222</v>
      </c>
      <c r="D78">
        <v>18.190000000000001</v>
      </c>
      <c r="E78">
        <f t="shared" si="9"/>
        <v>1.906666666666667</v>
      </c>
      <c r="K78" t="e">
        <f>VLOOKUP(A78,IC_raw!$C$2:$E$111,3,FALSE)</f>
        <v>#N/A</v>
      </c>
      <c r="L78" t="e">
        <f>VLOOKUP(A78,IC_raw!$C$2:$E$111,2,FALSE)</f>
        <v>#N/A</v>
      </c>
    </row>
    <row r="79" spans="1:12" x14ac:dyDescent="0.2">
      <c r="A79" t="s">
        <v>310</v>
      </c>
      <c r="B79" s="1">
        <f t="shared" si="10"/>
        <v>45941.96597222222</v>
      </c>
      <c r="C79" s="1">
        <f t="shared" si="11"/>
        <v>45942.21597222222</v>
      </c>
      <c r="D79">
        <v>18.45</v>
      </c>
      <c r="E79">
        <f t="shared" si="9"/>
        <v>1.95</v>
      </c>
      <c r="K79" t="e">
        <f>VLOOKUP(A79,IC_raw!$C$2:$E$111,3,FALSE)</f>
        <v>#N/A</v>
      </c>
      <c r="L79" t="e">
        <f>VLOOKUP(A79,IC_raw!$C$2:$E$111,2,FALSE)</f>
        <v>#N/A</v>
      </c>
    </row>
    <row r="80" spans="1:12" x14ac:dyDescent="0.2">
      <c r="A80" t="s">
        <v>311</v>
      </c>
      <c r="B80" s="1">
        <f t="shared" si="10"/>
        <v>45942.21597222222</v>
      </c>
      <c r="C80" s="1">
        <f t="shared" si="11"/>
        <v>45942.46597222222</v>
      </c>
      <c r="D80">
        <v>17.760000000000002</v>
      </c>
      <c r="E80">
        <f t="shared" si="9"/>
        <v>1.8350000000000002</v>
      </c>
      <c r="K80" t="e">
        <f>VLOOKUP(A80,IC_raw!$C$2:$E$111,3,FALSE)</f>
        <v>#N/A</v>
      </c>
      <c r="L80" t="e">
        <f>VLOOKUP(A80,IC_raw!$C$2:$E$111,2,FALSE)</f>
        <v>#N/A</v>
      </c>
    </row>
    <row r="81" spans="1:13" x14ac:dyDescent="0.2">
      <c r="A81" t="s">
        <v>446</v>
      </c>
      <c r="B81" s="1">
        <f t="shared" ref="B81:B82" si="12">C80</f>
        <v>45942.46597222222</v>
      </c>
      <c r="C81" s="1">
        <f t="shared" ref="C81:C82" si="13">B81+6/24</f>
        <v>45942.71597222222</v>
      </c>
      <c r="D81">
        <v>18.27</v>
      </c>
      <c r="E81">
        <f t="shared" si="9"/>
        <v>1.92</v>
      </c>
      <c r="F81">
        <v>8.1199999999999992</v>
      </c>
      <c r="G81">
        <v>715</v>
      </c>
      <c r="H81">
        <v>9.86</v>
      </c>
      <c r="I81">
        <f>3/62*14</f>
        <v>0.67741935483870963</v>
      </c>
      <c r="K81">
        <f>VLOOKUP(A81,IC_raw!$C$2:$E$111,3,FALSE)</f>
        <v>0.92</v>
      </c>
      <c r="L81">
        <f>VLOOKUP(A81,IC_raw!$C$2:$E$111,2,FALSE)</f>
        <v>44.8</v>
      </c>
    </row>
    <row r="82" spans="1:13" x14ac:dyDescent="0.2">
      <c r="A82" t="s">
        <v>447</v>
      </c>
      <c r="B82" s="1">
        <f t="shared" si="12"/>
        <v>45942.71597222222</v>
      </c>
      <c r="C82" s="1">
        <f t="shared" si="13"/>
        <v>45942.96597222222</v>
      </c>
      <c r="K82" t="e">
        <f>VLOOKUP(A82,IC_raw!$C$2:$E$111,3,FALSE)</f>
        <v>#N/A</v>
      </c>
      <c r="L82" t="e">
        <f>VLOOKUP(A82,IC_raw!$C$2:$E$111,2,FALSE)</f>
        <v>#N/A</v>
      </c>
      <c r="M82" t="s">
        <v>454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B4A8-8683-FF42-8F76-0A791D85765F}">
  <dimension ref="A1:M82"/>
  <sheetViews>
    <sheetView workbookViewId="0">
      <selection activeCell="K2" sqref="K2:L2"/>
    </sheetView>
  </sheetViews>
  <sheetFormatPr baseColWidth="10" defaultRowHeight="16" x14ac:dyDescent="0.2"/>
  <cols>
    <col min="2" max="3" width="13" bestFit="1" customWidth="1"/>
  </cols>
  <sheetData>
    <row r="1" spans="1:13" x14ac:dyDescent="0.2">
      <c r="A1" t="s">
        <v>0</v>
      </c>
      <c r="B1" t="s">
        <v>437</v>
      </c>
      <c r="C1" t="s">
        <v>438</v>
      </c>
      <c r="D1" t="s">
        <v>3</v>
      </c>
      <c r="E1" t="s">
        <v>4</v>
      </c>
      <c r="F1" t="s">
        <v>5</v>
      </c>
      <c r="G1" t="s">
        <v>6</v>
      </c>
      <c r="H1" t="s">
        <v>387</v>
      </c>
      <c r="I1" t="s">
        <v>468</v>
      </c>
      <c r="J1" t="s">
        <v>44</v>
      </c>
      <c r="K1" t="s">
        <v>45</v>
      </c>
      <c r="L1" t="s">
        <v>46</v>
      </c>
      <c r="M1" t="s">
        <v>159</v>
      </c>
    </row>
    <row r="2" spans="1:13" x14ac:dyDescent="0.2">
      <c r="A2" t="s">
        <v>11</v>
      </c>
      <c r="B2" s="1">
        <v>45922.71597222222</v>
      </c>
      <c r="C2" s="1">
        <f>B2+6/24</f>
        <v>45922.96597222222</v>
      </c>
      <c r="D2">
        <v>17.7</v>
      </c>
      <c r="E2">
        <f t="shared" ref="E2:E26" si="0">(D2-6.75)/6</f>
        <v>1.825</v>
      </c>
      <c r="K2" t="e">
        <f>VLOOKUP(A2,IC_raw!$C$2:$E$111,3,FALSE)</f>
        <v>#N/A</v>
      </c>
      <c r="L2" t="e">
        <f>VLOOKUP(A2,IC_raw!$C$2:$E$111,2,FALSE)</f>
        <v>#N/A</v>
      </c>
    </row>
    <row r="3" spans="1:13" x14ac:dyDescent="0.2">
      <c r="A3" t="s">
        <v>12</v>
      </c>
      <c r="B3" s="1">
        <f>C2</f>
        <v>45922.96597222222</v>
      </c>
      <c r="C3" s="1">
        <f>B3+6/24</f>
        <v>45923.21597222222</v>
      </c>
      <c r="D3">
        <v>16.89</v>
      </c>
      <c r="E3">
        <f t="shared" si="0"/>
        <v>1.6900000000000002</v>
      </c>
      <c r="K3" t="e">
        <f>VLOOKUP(A3,IC_raw!$C$2:$E$111,3,FALSE)</f>
        <v>#N/A</v>
      </c>
      <c r="L3" t="e">
        <f>VLOOKUP(A3,IC_raw!$C$2:$E$111,2,FALSE)</f>
        <v>#N/A</v>
      </c>
    </row>
    <row r="4" spans="1:13" x14ac:dyDescent="0.2">
      <c r="A4" t="s">
        <v>13</v>
      </c>
      <c r="B4" s="1">
        <f t="shared" ref="B4:B36" si="1">C3</f>
        <v>45923.21597222222</v>
      </c>
      <c r="C4" s="1">
        <f t="shared" ref="C4:C36" si="2">B4+6/24</f>
        <v>45923.46597222222</v>
      </c>
      <c r="D4">
        <v>17.32</v>
      </c>
      <c r="E4">
        <f t="shared" si="0"/>
        <v>1.7616666666666667</v>
      </c>
      <c r="F4">
        <v>8.1999999999999993</v>
      </c>
      <c r="G4">
        <v>699</v>
      </c>
      <c r="H4">
        <v>12.5</v>
      </c>
      <c r="I4">
        <f>3/62*14</f>
        <v>0.67741935483870963</v>
      </c>
      <c r="K4" t="e">
        <f>VLOOKUP(A4,IC_raw!$C$2:$E$111,3,FALSE)</f>
        <v>#N/A</v>
      </c>
      <c r="L4" t="e">
        <f>VLOOKUP(A4,IC_raw!$C$2:$E$111,2,FALSE)</f>
        <v>#N/A</v>
      </c>
    </row>
    <row r="5" spans="1:13" x14ac:dyDescent="0.2">
      <c r="A5" t="s">
        <v>29</v>
      </c>
      <c r="B5" s="1">
        <f t="shared" si="1"/>
        <v>45923.46597222222</v>
      </c>
      <c r="C5" s="1">
        <f t="shared" si="2"/>
        <v>45923.71597222222</v>
      </c>
      <c r="D5">
        <v>18.46</v>
      </c>
      <c r="E5">
        <f t="shared" si="0"/>
        <v>1.9516666666666669</v>
      </c>
      <c r="K5" t="e">
        <f>VLOOKUP(A5,IC_raw!$C$2:$E$111,3,FALSE)</f>
        <v>#N/A</v>
      </c>
      <c r="L5" t="e">
        <f>VLOOKUP(A5,IC_raw!$C$2:$E$111,2,FALSE)</f>
        <v>#N/A</v>
      </c>
    </row>
    <row r="6" spans="1:13" x14ac:dyDescent="0.2">
      <c r="A6" t="s">
        <v>30</v>
      </c>
      <c r="B6" s="1">
        <f t="shared" si="1"/>
        <v>45923.71597222222</v>
      </c>
      <c r="C6" s="1">
        <f t="shared" si="2"/>
        <v>45923.96597222222</v>
      </c>
      <c r="D6">
        <v>19.52</v>
      </c>
      <c r="E6">
        <f t="shared" si="0"/>
        <v>2.1283333333333334</v>
      </c>
      <c r="K6" t="e">
        <f>VLOOKUP(A6,IC_raw!$C$2:$E$111,3,FALSE)</f>
        <v>#N/A</v>
      </c>
      <c r="L6" t="e">
        <f>VLOOKUP(A6,IC_raw!$C$2:$E$111,2,FALSE)</f>
        <v>#N/A</v>
      </c>
    </row>
    <row r="7" spans="1:13" x14ac:dyDescent="0.2">
      <c r="A7" t="s">
        <v>31</v>
      </c>
      <c r="B7" s="1">
        <f t="shared" si="1"/>
        <v>45923.96597222222</v>
      </c>
      <c r="C7" s="1">
        <f t="shared" si="2"/>
        <v>45924.21597222222</v>
      </c>
      <c r="D7">
        <v>19.54</v>
      </c>
      <c r="E7">
        <f t="shared" si="0"/>
        <v>2.1316666666666664</v>
      </c>
      <c r="K7" t="e">
        <f>VLOOKUP(A7,IC_raw!$C$2:$E$111,3,FALSE)</f>
        <v>#N/A</v>
      </c>
      <c r="L7" t="e">
        <f>VLOOKUP(A7,IC_raw!$C$2:$E$111,2,FALSE)</f>
        <v>#N/A</v>
      </c>
    </row>
    <row r="8" spans="1:13" x14ac:dyDescent="0.2">
      <c r="A8" t="s">
        <v>32</v>
      </c>
      <c r="B8" s="1">
        <f t="shared" si="1"/>
        <v>45924.21597222222</v>
      </c>
      <c r="C8" s="1">
        <f t="shared" si="2"/>
        <v>45924.46597222222</v>
      </c>
      <c r="D8">
        <v>19.64</v>
      </c>
      <c r="E8">
        <f t="shared" si="0"/>
        <v>2.1483333333333334</v>
      </c>
      <c r="K8" t="e">
        <f>VLOOKUP(A8,IC_raw!$C$2:$E$111,3,FALSE)</f>
        <v>#N/A</v>
      </c>
      <c r="L8" t="e">
        <f>VLOOKUP(A8,IC_raw!$C$2:$E$111,2,FALSE)</f>
        <v>#N/A</v>
      </c>
    </row>
    <row r="9" spans="1:13" x14ac:dyDescent="0.2">
      <c r="A9" t="s">
        <v>33</v>
      </c>
      <c r="B9" s="1">
        <f t="shared" si="1"/>
        <v>45924.46597222222</v>
      </c>
      <c r="C9" s="1">
        <f t="shared" si="2"/>
        <v>45924.71597222222</v>
      </c>
      <c r="F9">
        <v>8.1199999999999992</v>
      </c>
      <c r="G9">
        <v>641</v>
      </c>
      <c r="H9">
        <v>12.6</v>
      </c>
      <c r="I9">
        <f>3/62*14</f>
        <v>0.67741935483870963</v>
      </c>
      <c r="K9">
        <f>VLOOKUP(A9,IC_raw!$C$2:$E$111,3,FALSE)</f>
        <v>1.5</v>
      </c>
      <c r="L9">
        <f>VLOOKUP(A9,IC_raw!$C$2:$E$111,2,FALSE)</f>
        <v>45.72</v>
      </c>
    </row>
    <row r="10" spans="1:13" x14ac:dyDescent="0.2">
      <c r="A10" t="s">
        <v>78</v>
      </c>
      <c r="B10" s="1">
        <f t="shared" si="1"/>
        <v>45924.71597222222</v>
      </c>
      <c r="C10" s="1">
        <f t="shared" si="2"/>
        <v>45924.96597222222</v>
      </c>
      <c r="D10">
        <v>19.37</v>
      </c>
      <c r="E10">
        <f t="shared" si="0"/>
        <v>2.1033333333333335</v>
      </c>
      <c r="K10" t="e">
        <f>VLOOKUP(A10,IC_raw!$C$2:$E$111,3,FALSE)</f>
        <v>#N/A</v>
      </c>
      <c r="L10" t="e">
        <f>VLOOKUP(A10,IC_raw!$C$2:$E$111,2,FALSE)</f>
        <v>#N/A</v>
      </c>
    </row>
    <row r="11" spans="1:13" x14ac:dyDescent="0.2">
      <c r="A11" t="s">
        <v>79</v>
      </c>
      <c r="B11" s="1">
        <f t="shared" si="1"/>
        <v>45924.96597222222</v>
      </c>
      <c r="C11" s="1">
        <f t="shared" si="2"/>
        <v>45925.21597222222</v>
      </c>
      <c r="D11">
        <v>19.54</v>
      </c>
      <c r="E11">
        <f t="shared" si="0"/>
        <v>2.1316666666666664</v>
      </c>
      <c r="K11" t="e">
        <f>VLOOKUP(A11,IC_raw!$C$2:$E$111,3,FALSE)</f>
        <v>#N/A</v>
      </c>
      <c r="L11" t="e">
        <f>VLOOKUP(A11,IC_raw!$C$2:$E$111,2,FALSE)</f>
        <v>#N/A</v>
      </c>
    </row>
    <row r="12" spans="1:13" x14ac:dyDescent="0.2">
      <c r="A12" t="s">
        <v>80</v>
      </c>
      <c r="B12" s="1">
        <f t="shared" si="1"/>
        <v>45925.21597222222</v>
      </c>
      <c r="C12" s="1">
        <f t="shared" si="2"/>
        <v>45925.46597222222</v>
      </c>
      <c r="D12">
        <v>19.559999999999999</v>
      </c>
      <c r="E12">
        <f t="shared" si="0"/>
        <v>2.1349999999999998</v>
      </c>
      <c r="K12" t="e">
        <f>VLOOKUP(A12,IC_raw!$C$2:$E$111,3,FALSE)</f>
        <v>#N/A</v>
      </c>
      <c r="L12" t="e">
        <f>VLOOKUP(A12,IC_raw!$C$2:$E$111,2,FALSE)</f>
        <v>#N/A</v>
      </c>
    </row>
    <row r="13" spans="1:13" x14ac:dyDescent="0.2">
      <c r="A13" t="s">
        <v>81</v>
      </c>
      <c r="B13" s="1">
        <f t="shared" si="1"/>
        <v>45925.46597222222</v>
      </c>
      <c r="C13" s="1">
        <f t="shared" si="2"/>
        <v>45925.71597222222</v>
      </c>
      <c r="D13">
        <v>19.579999999999998</v>
      </c>
      <c r="E13">
        <f t="shared" si="0"/>
        <v>2.1383333333333332</v>
      </c>
      <c r="K13" t="e">
        <f>VLOOKUP(A13,IC_raw!$C$2:$E$111,3,FALSE)</f>
        <v>#N/A</v>
      </c>
      <c r="L13" t="e">
        <f>VLOOKUP(A13,IC_raw!$C$2:$E$111,2,FALSE)</f>
        <v>#N/A</v>
      </c>
    </row>
    <row r="14" spans="1:13" x14ac:dyDescent="0.2">
      <c r="A14" t="s">
        <v>82</v>
      </c>
      <c r="B14" s="1">
        <f t="shared" si="1"/>
        <v>45925.71597222222</v>
      </c>
      <c r="C14" s="1">
        <f t="shared" si="2"/>
        <v>45925.96597222222</v>
      </c>
      <c r="D14">
        <v>19.39</v>
      </c>
      <c r="E14">
        <f t="shared" si="0"/>
        <v>2.1066666666666669</v>
      </c>
      <c r="K14" t="e">
        <f>VLOOKUP(A14,IC_raw!$C$2:$E$111,3,FALSE)</f>
        <v>#N/A</v>
      </c>
      <c r="L14" t="e">
        <f>VLOOKUP(A14,IC_raw!$C$2:$E$111,2,FALSE)</f>
        <v>#N/A</v>
      </c>
    </row>
    <row r="15" spans="1:13" x14ac:dyDescent="0.2">
      <c r="A15" t="s">
        <v>83</v>
      </c>
      <c r="B15" s="1">
        <f t="shared" si="1"/>
        <v>45925.96597222222</v>
      </c>
      <c r="C15" s="1">
        <f t="shared" si="2"/>
        <v>45926.21597222222</v>
      </c>
      <c r="D15">
        <v>19.45</v>
      </c>
      <c r="E15">
        <f t="shared" si="0"/>
        <v>2.1166666666666667</v>
      </c>
      <c r="K15" t="e">
        <f>VLOOKUP(A15,IC_raw!$C$2:$E$111,3,FALSE)</f>
        <v>#N/A</v>
      </c>
      <c r="L15" t="e">
        <f>VLOOKUP(A15,IC_raw!$C$2:$E$111,2,FALSE)</f>
        <v>#N/A</v>
      </c>
    </row>
    <row r="16" spans="1:13" x14ac:dyDescent="0.2">
      <c r="A16" t="s">
        <v>84</v>
      </c>
      <c r="B16" s="1">
        <f t="shared" si="1"/>
        <v>45926.21597222222</v>
      </c>
      <c r="C16" s="1">
        <f t="shared" si="2"/>
        <v>45926.46597222222</v>
      </c>
      <c r="D16">
        <v>19.43</v>
      </c>
      <c r="E16">
        <f t="shared" si="0"/>
        <v>2.1133333333333333</v>
      </c>
      <c r="F16">
        <v>8.09</v>
      </c>
      <c r="G16">
        <v>955</v>
      </c>
      <c r="H16">
        <v>14.1</v>
      </c>
      <c r="I16">
        <f>3/62*14</f>
        <v>0.67741935483870963</v>
      </c>
      <c r="K16">
        <f>VLOOKUP(A16,IC_raw!$C$2:$E$111,3,FALSE)</f>
        <v>1.26</v>
      </c>
      <c r="L16">
        <f>VLOOKUP(A16,IC_raw!$C$2:$E$111,2,FALSE)</f>
        <v>57.3</v>
      </c>
      <c r="M16" t="s">
        <v>160</v>
      </c>
    </row>
    <row r="17" spans="1:13" x14ac:dyDescent="0.2">
      <c r="A17" t="s">
        <v>85</v>
      </c>
      <c r="B17" s="1">
        <f t="shared" si="1"/>
        <v>45926.46597222222</v>
      </c>
      <c r="C17" s="1">
        <f t="shared" si="2"/>
        <v>45926.71597222222</v>
      </c>
      <c r="K17" t="e">
        <f>VLOOKUP(A17,IC_raw!$C$2:$E$111,3,FALSE)</f>
        <v>#N/A</v>
      </c>
      <c r="L17" t="e">
        <f>VLOOKUP(A17,IC_raw!$C$2:$E$111,2,FALSE)</f>
        <v>#N/A</v>
      </c>
      <c r="M17" t="s">
        <v>161</v>
      </c>
    </row>
    <row r="18" spans="1:13" x14ac:dyDescent="0.2">
      <c r="A18" t="s">
        <v>86</v>
      </c>
      <c r="B18" s="1">
        <f t="shared" si="1"/>
        <v>45926.71597222222</v>
      </c>
      <c r="C18" s="1">
        <f t="shared" si="2"/>
        <v>45926.96597222222</v>
      </c>
      <c r="D18">
        <v>18.87</v>
      </c>
      <c r="E18">
        <f t="shared" si="0"/>
        <v>2.02</v>
      </c>
      <c r="K18" t="e">
        <f>VLOOKUP(A18,IC_raw!$C$2:$E$111,3,FALSE)</f>
        <v>#N/A</v>
      </c>
      <c r="L18" t="e">
        <f>VLOOKUP(A18,IC_raw!$C$2:$E$111,2,FALSE)</f>
        <v>#N/A</v>
      </c>
    </row>
    <row r="19" spans="1:13" x14ac:dyDescent="0.2">
      <c r="A19" t="s">
        <v>87</v>
      </c>
      <c r="B19" s="1">
        <f t="shared" si="1"/>
        <v>45926.96597222222</v>
      </c>
      <c r="C19" s="1">
        <f t="shared" si="2"/>
        <v>45927.21597222222</v>
      </c>
      <c r="D19">
        <v>19.25</v>
      </c>
      <c r="E19">
        <f t="shared" si="0"/>
        <v>2.0833333333333335</v>
      </c>
      <c r="K19" t="e">
        <f>VLOOKUP(A19,IC_raw!$C$2:$E$111,3,FALSE)</f>
        <v>#N/A</v>
      </c>
      <c r="L19" t="e">
        <f>VLOOKUP(A19,IC_raw!$C$2:$E$111,2,FALSE)</f>
        <v>#N/A</v>
      </c>
    </row>
    <row r="20" spans="1:13" x14ac:dyDescent="0.2">
      <c r="A20" t="s">
        <v>88</v>
      </c>
      <c r="B20" s="1">
        <f t="shared" si="1"/>
        <v>45927.21597222222</v>
      </c>
      <c r="C20" s="1">
        <f t="shared" si="2"/>
        <v>45927.46597222222</v>
      </c>
      <c r="D20">
        <v>19.21</v>
      </c>
      <c r="E20">
        <f t="shared" si="0"/>
        <v>2.0766666666666667</v>
      </c>
      <c r="K20" t="e">
        <f>VLOOKUP(A20,IC_raw!$C$2:$E$111,3,FALSE)</f>
        <v>#N/A</v>
      </c>
      <c r="L20" t="e">
        <f>VLOOKUP(A20,IC_raw!$C$2:$E$111,2,FALSE)</f>
        <v>#N/A</v>
      </c>
    </row>
    <row r="21" spans="1:13" x14ac:dyDescent="0.2">
      <c r="A21" t="s">
        <v>89</v>
      </c>
      <c r="B21" s="1">
        <f t="shared" si="1"/>
        <v>45927.46597222222</v>
      </c>
      <c r="C21" s="1">
        <f t="shared" si="2"/>
        <v>45927.71597222222</v>
      </c>
      <c r="D21">
        <v>19.329999999999998</v>
      </c>
      <c r="E21">
        <f t="shared" si="0"/>
        <v>2.0966666666666662</v>
      </c>
      <c r="K21" t="e">
        <f>VLOOKUP(A21,IC_raw!$C$2:$E$111,3,FALSE)</f>
        <v>#N/A</v>
      </c>
      <c r="L21" t="e">
        <f>VLOOKUP(A21,IC_raw!$C$2:$E$111,2,FALSE)</f>
        <v>#N/A</v>
      </c>
    </row>
    <row r="22" spans="1:13" x14ac:dyDescent="0.2">
      <c r="A22" t="s">
        <v>90</v>
      </c>
      <c r="B22" s="1">
        <f t="shared" si="1"/>
        <v>45927.71597222222</v>
      </c>
      <c r="C22" s="1">
        <f t="shared" si="2"/>
        <v>45927.96597222222</v>
      </c>
      <c r="D22">
        <v>19.350000000000001</v>
      </c>
      <c r="E22">
        <f t="shared" si="0"/>
        <v>2.1</v>
      </c>
      <c r="K22" t="e">
        <f>VLOOKUP(A22,IC_raw!$C$2:$E$111,3,FALSE)</f>
        <v>#N/A</v>
      </c>
      <c r="L22" t="e">
        <f>VLOOKUP(A22,IC_raw!$C$2:$E$111,2,FALSE)</f>
        <v>#N/A</v>
      </c>
    </row>
    <row r="23" spans="1:13" x14ac:dyDescent="0.2">
      <c r="A23" t="s">
        <v>91</v>
      </c>
      <c r="B23" s="1">
        <f t="shared" si="1"/>
        <v>45927.96597222222</v>
      </c>
      <c r="C23" s="1">
        <f t="shared" si="2"/>
        <v>45928.21597222222</v>
      </c>
      <c r="D23">
        <v>19.41</v>
      </c>
      <c r="E23">
        <f t="shared" si="0"/>
        <v>2.11</v>
      </c>
      <c r="K23" t="e">
        <f>VLOOKUP(A23,IC_raw!$C$2:$E$111,3,FALSE)</f>
        <v>#N/A</v>
      </c>
      <c r="L23" t="e">
        <f>VLOOKUP(A23,IC_raw!$C$2:$E$111,2,FALSE)</f>
        <v>#N/A</v>
      </c>
    </row>
    <row r="24" spans="1:13" x14ac:dyDescent="0.2">
      <c r="A24" t="s">
        <v>92</v>
      </c>
      <c r="B24" s="1">
        <f t="shared" si="1"/>
        <v>45928.21597222222</v>
      </c>
      <c r="C24" s="1">
        <f t="shared" si="2"/>
        <v>45928.46597222222</v>
      </c>
      <c r="D24">
        <v>19.329999999999998</v>
      </c>
      <c r="E24">
        <f t="shared" si="0"/>
        <v>2.0966666666666662</v>
      </c>
      <c r="F24">
        <v>8.25</v>
      </c>
      <c r="G24">
        <v>879</v>
      </c>
      <c r="H24">
        <v>13.2</v>
      </c>
      <c r="I24">
        <f>3/62*14</f>
        <v>0.67741935483870963</v>
      </c>
      <c r="K24">
        <f>VLOOKUP(A24,IC_raw!$C$2:$E$111,3,FALSE)</f>
        <v>1.17</v>
      </c>
      <c r="L24">
        <f>VLOOKUP(A24,IC_raw!$C$2:$E$111,2,FALSE)</f>
        <v>54.81</v>
      </c>
    </row>
    <row r="25" spans="1:13" x14ac:dyDescent="0.2">
      <c r="A25" t="s">
        <v>93</v>
      </c>
      <c r="B25" s="1">
        <f t="shared" si="1"/>
        <v>45928.46597222222</v>
      </c>
      <c r="C25" s="1">
        <f t="shared" si="2"/>
        <v>45928.71597222222</v>
      </c>
      <c r="D25">
        <v>19.48</v>
      </c>
      <c r="E25">
        <f t="shared" si="0"/>
        <v>2.1216666666666666</v>
      </c>
      <c r="K25" t="e">
        <f>VLOOKUP(A25,IC_raw!$C$2:$E$111,3,FALSE)</f>
        <v>#N/A</v>
      </c>
      <c r="L25" t="e">
        <f>VLOOKUP(A25,IC_raw!$C$2:$E$111,2,FALSE)</f>
        <v>#N/A</v>
      </c>
    </row>
    <row r="26" spans="1:13" x14ac:dyDescent="0.2">
      <c r="A26" t="s">
        <v>94</v>
      </c>
      <c r="B26" s="1">
        <f t="shared" si="1"/>
        <v>45928.71597222222</v>
      </c>
      <c r="C26" s="1">
        <f t="shared" si="2"/>
        <v>45928.96597222222</v>
      </c>
      <c r="D26">
        <v>19.399999999999999</v>
      </c>
      <c r="E26">
        <f t="shared" si="0"/>
        <v>2.1083333333333329</v>
      </c>
      <c r="K26" t="e">
        <f>VLOOKUP(A26,IC_raw!$C$2:$E$111,3,FALSE)</f>
        <v>#N/A</v>
      </c>
      <c r="L26" t="e">
        <f>VLOOKUP(A26,IC_raw!$C$2:$E$111,2,FALSE)</f>
        <v>#N/A</v>
      </c>
    </row>
    <row r="27" spans="1:13" x14ac:dyDescent="0.2">
      <c r="A27" t="s">
        <v>95</v>
      </c>
      <c r="B27" s="1">
        <f t="shared" si="1"/>
        <v>45928.96597222222</v>
      </c>
      <c r="C27" s="1">
        <f t="shared" si="2"/>
        <v>45929.21597222222</v>
      </c>
      <c r="D27">
        <v>19.63</v>
      </c>
      <c r="E27">
        <f>(D27-6.75)/6</f>
        <v>2.1466666666666665</v>
      </c>
      <c r="F27">
        <v>8.3000000000000007</v>
      </c>
      <c r="G27">
        <v>846</v>
      </c>
      <c r="H27">
        <v>13.3</v>
      </c>
      <c r="I27">
        <f>3/62*14</f>
        <v>0.67741935483870963</v>
      </c>
      <c r="K27" t="e">
        <f>VLOOKUP(A27,IC_raw!$C$2:$E$111,3,FALSE)</f>
        <v>#N/A</v>
      </c>
      <c r="L27" t="e">
        <f>VLOOKUP(A27,IC_raw!$C$2:$E$111,2,FALSE)</f>
        <v>#N/A</v>
      </c>
    </row>
    <row r="28" spans="1:13" x14ac:dyDescent="0.2">
      <c r="A28" t="s">
        <v>96</v>
      </c>
      <c r="B28" s="1">
        <f t="shared" si="1"/>
        <v>45929.21597222222</v>
      </c>
      <c r="C28" s="1">
        <f t="shared" si="2"/>
        <v>45929.46597222222</v>
      </c>
      <c r="K28">
        <f>VLOOKUP(A28,IC_raw!$C$2:$E$111,3,FALSE)</f>
        <v>1.2</v>
      </c>
      <c r="L28">
        <f>VLOOKUP(A28,IC_raw!$C$2:$E$111,2,FALSE)</f>
        <v>56.33</v>
      </c>
      <c r="M28" t="s">
        <v>187</v>
      </c>
    </row>
    <row r="29" spans="1:13" x14ac:dyDescent="0.2">
      <c r="A29" t="s">
        <v>97</v>
      </c>
      <c r="B29" s="1">
        <f t="shared" si="1"/>
        <v>45929.46597222222</v>
      </c>
      <c r="C29" s="1">
        <f t="shared" si="2"/>
        <v>45929.71597222222</v>
      </c>
      <c r="D29">
        <v>22.34</v>
      </c>
      <c r="E29">
        <f t="shared" ref="E29:E46" si="3">(D29-6.75)/6</f>
        <v>2.5983333333333332</v>
      </c>
      <c r="K29" t="e">
        <f>VLOOKUP(A29,IC_raw!$C$2:$E$111,3,FALSE)</f>
        <v>#N/A</v>
      </c>
      <c r="L29" t="e">
        <f>VLOOKUP(A29,IC_raw!$C$2:$E$111,2,FALSE)</f>
        <v>#N/A</v>
      </c>
    </row>
    <row r="30" spans="1:13" x14ac:dyDescent="0.2">
      <c r="A30" t="s">
        <v>98</v>
      </c>
      <c r="B30" s="1">
        <f t="shared" si="1"/>
        <v>45929.71597222222</v>
      </c>
      <c r="C30" s="1">
        <f t="shared" si="2"/>
        <v>45929.96597222222</v>
      </c>
      <c r="D30">
        <v>21.75</v>
      </c>
      <c r="E30">
        <f t="shared" si="3"/>
        <v>2.5</v>
      </c>
      <c r="K30" t="e">
        <f>VLOOKUP(A30,IC_raw!$C$2:$E$111,3,FALSE)</f>
        <v>#N/A</v>
      </c>
      <c r="L30" t="e">
        <f>VLOOKUP(A30,IC_raw!$C$2:$E$111,2,FALSE)</f>
        <v>#N/A</v>
      </c>
    </row>
    <row r="31" spans="1:13" x14ac:dyDescent="0.2">
      <c r="A31" t="s">
        <v>99</v>
      </c>
      <c r="B31" s="1">
        <f t="shared" si="1"/>
        <v>45929.96597222222</v>
      </c>
      <c r="C31" s="1">
        <f t="shared" si="2"/>
        <v>45930.21597222222</v>
      </c>
      <c r="D31">
        <v>21.34</v>
      </c>
      <c r="E31">
        <f t="shared" si="3"/>
        <v>2.4316666666666666</v>
      </c>
      <c r="K31" t="e">
        <f>VLOOKUP(A31,IC_raw!$C$2:$E$111,3,FALSE)</f>
        <v>#N/A</v>
      </c>
      <c r="L31" t="e">
        <f>VLOOKUP(A31,IC_raw!$C$2:$E$111,2,FALSE)</f>
        <v>#N/A</v>
      </c>
    </row>
    <row r="32" spans="1:13" x14ac:dyDescent="0.2">
      <c r="A32" t="s">
        <v>100</v>
      </c>
      <c r="B32" s="1">
        <f t="shared" si="1"/>
        <v>45930.21597222222</v>
      </c>
      <c r="C32" s="1">
        <f t="shared" si="2"/>
        <v>45930.46597222222</v>
      </c>
      <c r="D32">
        <v>20.98</v>
      </c>
      <c r="E32">
        <f t="shared" si="3"/>
        <v>2.3716666666666666</v>
      </c>
      <c r="K32" t="e">
        <f>VLOOKUP(A32,IC_raw!$C$2:$E$111,3,FALSE)</f>
        <v>#N/A</v>
      </c>
      <c r="L32" t="e">
        <f>VLOOKUP(A32,IC_raw!$C$2:$E$111,2,FALSE)</f>
        <v>#N/A</v>
      </c>
    </row>
    <row r="33" spans="1:13" x14ac:dyDescent="0.2">
      <c r="A33" t="s">
        <v>101</v>
      </c>
      <c r="B33" s="1">
        <f t="shared" si="1"/>
        <v>45930.46597222222</v>
      </c>
      <c r="C33" s="1">
        <f t="shared" si="2"/>
        <v>45930.71597222222</v>
      </c>
      <c r="K33" t="e">
        <f>VLOOKUP(A33,IC_raw!$C$2:$E$111,3,FALSE)</f>
        <v>#N/A</v>
      </c>
      <c r="L33" t="e">
        <f>VLOOKUP(A33,IC_raw!$C$2:$E$111,2,FALSE)</f>
        <v>#N/A</v>
      </c>
    </row>
    <row r="34" spans="1:13" x14ac:dyDescent="0.2">
      <c r="A34" t="s">
        <v>102</v>
      </c>
      <c r="B34" s="1">
        <f t="shared" si="1"/>
        <v>45930.71597222222</v>
      </c>
      <c r="C34" s="1">
        <f t="shared" si="2"/>
        <v>45930.96597222222</v>
      </c>
      <c r="D34">
        <v>18.440000000000001</v>
      </c>
      <c r="E34">
        <f t="shared" si="3"/>
        <v>1.9483333333333335</v>
      </c>
      <c r="K34" t="e">
        <f>VLOOKUP(A34,IC_raw!$C$2:$E$111,3,FALSE)</f>
        <v>#N/A</v>
      </c>
      <c r="L34" t="e">
        <f>VLOOKUP(A34,IC_raw!$C$2:$E$111,2,FALSE)</f>
        <v>#N/A</v>
      </c>
    </row>
    <row r="35" spans="1:13" x14ac:dyDescent="0.2">
      <c r="A35" t="s">
        <v>103</v>
      </c>
      <c r="B35" s="1">
        <f t="shared" si="1"/>
        <v>45930.96597222222</v>
      </c>
      <c r="C35" s="1">
        <f t="shared" si="2"/>
        <v>45931.21597222222</v>
      </c>
      <c r="D35">
        <v>18.43</v>
      </c>
      <c r="E35">
        <f t="shared" si="3"/>
        <v>1.9466666666666665</v>
      </c>
      <c r="K35" t="e">
        <f>VLOOKUP(A35,IC_raw!$C$2:$E$111,3,FALSE)</f>
        <v>#N/A</v>
      </c>
      <c r="L35" t="e">
        <f>VLOOKUP(A35,IC_raw!$C$2:$E$111,2,FALSE)</f>
        <v>#N/A</v>
      </c>
    </row>
    <row r="36" spans="1:13" x14ac:dyDescent="0.2">
      <c r="A36" t="s">
        <v>104</v>
      </c>
      <c r="B36" s="1">
        <f t="shared" si="1"/>
        <v>45931.21597222222</v>
      </c>
      <c r="C36" s="1">
        <f t="shared" si="2"/>
        <v>45931.46597222222</v>
      </c>
      <c r="D36">
        <v>18.27</v>
      </c>
      <c r="E36">
        <f t="shared" si="3"/>
        <v>1.92</v>
      </c>
      <c r="F36">
        <v>7.95</v>
      </c>
      <c r="G36">
        <v>765</v>
      </c>
      <c r="H36">
        <v>13.7</v>
      </c>
      <c r="I36">
        <f>3/62*14</f>
        <v>0.67741935483870963</v>
      </c>
      <c r="K36">
        <f>VLOOKUP(A36,IC_raw!$C$2:$E$111,3,FALSE)</f>
        <v>1.27</v>
      </c>
      <c r="L36">
        <f>VLOOKUP(A36,IC_raw!$C$2:$E$111,2,FALSE)</f>
        <v>63.49</v>
      </c>
    </row>
    <row r="37" spans="1:13" x14ac:dyDescent="0.2">
      <c r="A37" t="s">
        <v>219</v>
      </c>
      <c r="B37" s="1">
        <f t="shared" ref="B37:B56" si="4">C36</f>
        <v>45931.46597222222</v>
      </c>
      <c r="C37" s="1">
        <f t="shared" ref="C37:C56" si="5">B37+6/24</f>
        <v>45931.71597222222</v>
      </c>
      <c r="D37">
        <v>18.89</v>
      </c>
      <c r="E37">
        <f t="shared" si="3"/>
        <v>2.0233333333333334</v>
      </c>
      <c r="K37" t="e">
        <f>VLOOKUP(A37,IC_raw!$C$2:$E$111,3,FALSE)</f>
        <v>#N/A</v>
      </c>
      <c r="L37" t="e">
        <f>VLOOKUP(A37,IC_raw!$C$2:$E$111,2,FALSE)</f>
        <v>#N/A</v>
      </c>
    </row>
    <row r="38" spans="1:13" x14ac:dyDescent="0.2">
      <c r="A38" t="s">
        <v>220</v>
      </c>
      <c r="B38" s="1">
        <f t="shared" si="4"/>
        <v>45931.71597222222</v>
      </c>
      <c r="C38" s="1">
        <f t="shared" si="5"/>
        <v>45931.96597222222</v>
      </c>
      <c r="D38">
        <v>18.7</v>
      </c>
      <c r="E38">
        <f t="shared" si="3"/>
        <v>1.9916666666666665</v>
      </c>
      <c r="K38" t="e">
        <f>VLOOKUP(A38,IC_raw!$C$2:$E$111,3,FALSE)</f>
        <v>#N/A</v>
      </c>
      <c r="L38" t="e">
        <f>VLOOKUP(A38,IC_raw!$C$2:$E$111,2,FALSE)</f>
        <v>#N/A</v>
      </c>
    </row>
    <row r="39" spans="1:13" x14ac:dyDescent="0.2">
      <c r="A39" t="s">
        <v>221</v>
      </c>
      <c r="B39" s="1">
        <f t="shared" si="4"/>
        <v>45931.96597222222</v>
      </c>
      <c r="C39" s="1">
        <f t="shared" si="5"/>
        <v>45932.21597222222</v>
      </c>
      <c r="D39">
        <v>18.649999999999999</v>
      </c>
      <c r="E39">
        <f t="shared" si="3"/>
        <v>1.9833333333333332</v>
      </c>
      <c r="K39" t="e">
        <f>VLOOKUP(A39,IC_raw!$C$2:$E$111,3,FALSE)</f>
        <v>#N/A</v>
      </c>
      <c r="L39" t="e">
        <f>VLOOKUP(A39,IC_raw!$C$2:$E$111,2,FALSE)</f>
        <v>#N/A</v>
      </c>
    </row>
    <row r="40" spans="1:13" x14ac:dyDescent="0.2">
      <c r="A40" t="s">
        <v>222</v>
      </c>
      <c r="B40" s="1">
        <f t="shared" si="4"/>
        <v>45932.21597222222</v>
      </c>
      <c r="C40" s="1">
        <f t="shared" si="5"/>
        <v>45932.46597222222</v>
      </c>
      <c r="D40">
        <v>18.64</v>
      </c>
      <c r="E40">
        <f t="shared" si="3"/>
        <v>1.9816666666666667</v>
      </c>
      <c r="F40">
        <v>8.2100000000000009</v>
      </c>
      <c r="G40">
        <v>867</v>
      </c>
      <c r="H40">
        <v>14.2</v>
      </c>
      <c r="I40">
        <f>3/62*14</f>
        <v>0.67741935483870963</v>
      </c>
      <c r="K40">
        <f>VLOOKUP(A40,IC_raw!$C$2:$E$111,3,FALSE)</f>
        <v>1.21</v>
      </c>
      <c r="L40">
        <f>VLOOKUP(A40,IC_raw!$C$2:$E$111,2,FALSE)</f>
        <v>59.62</v>
      </c>
    </row>
    <row r="41" spans="1:13" x14ac:dyDescent="0.2">
      <c r="A41" t="s">
        <v>223</v>
      </c>
      <c r="B41" s="1">
        <f t="shared" si="4"/>
        <v>45932.46597222222</v>
      </c>
      <c r="C41" s="1">
        <f t="shared" si="5"/>
        <v>45932.71597222222</v>
      </c>
      <c r="D41">
        <v>18.54</v>
      </c>
      <c r="E41">
        <f t="shared" si="3"/>
        <v>1.9649999999999999</v>
      </c>
      <c r="K41" t="e">
        <f>VLOOKUP(A41,IC_raw!$C$2:$E$111,3,FALSE)</f>
        <v>#N/A</v>
      </c>
      <c r="L41" t="e">
        <f>VLOOKUP(A41,IC_raw!$C$2:$E$111,2,FALSE)</f>
        <v>#N/A</v>
      </c>
    </row>
    <row r="42" spans="1:13" x14ac:dyDescent="0.2">
      <c r="A42" t="s">
        <v>224</v>
      </c>
      <c r="B42" s="1">
        <f t="shared" si="4"/>
        <v>45932.71597222222</v>
      </c>
      <c r="C42" s="1">
        <f t="shared" si="5"/>
        <v>45932.96597222222</v>
      </c>
      <c r="D42">
        <v>18.89</v>
      </c>
      <c r="E42">
        <f t="shared" si="3"/>
        <v>2.0233333333333334</v>
      </c>
      <c r="K42" t="e">
        <f>VLOOKUP(A42,IC_raw!$C$2:$E$111,3,FALSE)</f>
        <v>#N/A</v>
      </c>
      <c r="L42" t="e">
        <f>VLOOKUP(A42,IC_raw!$C$2:$E$111,2,FALSE)</f>
        <v>#N/A</v>
      </c>
    </row>
    <row r="43" spans="1:13" x14ac:dyDescent="0.2">
      <c r="A43" t="s">
        <v>225</v>
      </c>
      <c r="B43" s="1">
        <f t="shared" si="4"/>
        <v>45932.96597222222</v>
      </c>
      <c r="C43" s="1">
        <f t="shared" si="5"/>
        <v>45933.21597222222</v>
      </c>
      <c r="D43">
        <v>18.989999999999998</v>
      </c>
      <c r="E43">
        <f t="shared" si="3"/>
        <v>2.0399999999999996</v>
      </c>
      <c r="K43" t="e">
        <f>VLOOKUP(A43,IC_raw!$C$2:$E$111,3,FALSE)</f>
        <v>#N/A</v>
      </c>
      <c r="L43" t="e">
        <f>VLOOKUP(A43,IC_raw!$C$2:$E$111,2,FALSE)</f>
        <v>#N/A</v>
      </c>
    </row>
    <row r="44" spans="1:13" x14ac:dyDescent="0.2">
      <c r="A44" t="s">
        <v>226</v>
      </c>
      <c r="B44" s="1">
        <f t="shared" si="4"/>
        <v>45933.21597222222</v>
      </c>
      <c r="C44" s="1">
        <f t="shared" si="5"/>
        <v>45933.46597222222</v>
      </c>
      <c r="D44">
        <v>19.010000000000002</v>
      </c>
      <c r="E44">
        <f t="shared" si="3"/>
        <v>2.0433333333333334</v>
      </c>
      <c r="H44">
        <v>15.1</v>
      </c>
      <c r="I44">
        <f>3/62*14</f>
        <v>0.67741935483870963</v>
      </c>
    </row>
    <row r="45" spans="1:13" x14ac:dyDescent="0.2">
      <c r="A45" t="s">
        <v>227</v>
      </c>
      <c r="B45" s="1">
        <f t="shared" si="4"/>
        <v>45933.46597222222</v>
      </c>
      <c r="C45" s="1">
        <f t="shared" si="5"/>
        <v>45933.71597222222</v>
      </c>
      <c r="D45">
        <v>19.010000000000002</v>
      </c>
      <c r="E45">
        <f t="shared" si="3"/>
        <v>2.0433333333333334</v>
      </c>
      <c r="K45" t="e">
        <f>VLOOKUP(A45,IC_raw!$C$2:$E$111,3,FALSE)</f>
        <v>#N/A</v>
      </c>
      <c r="L45" t="e">
        <f>VLOOKUP(A45,IC_raw!$C$2:$E$111,2,FALSE)</f>
        <v>#N/A</v>
      </c>
    </row>
    <row r="46" spans="1:13" x14ac:dyDescent="0.2">
      <c r="A46" t="s">
        <v>228</v>
      </c>
      <c r="B46" s="1">
        <f t="shared" si="4"/>
        <v>45933.71597222222</v>
      </c>
      <c r="C46" s="1">
        <f t="shared" si="5"/>
        <v>45933.96597222222</v>
      </c>
      <c r="D46">
        <v>18.96</v>
      </c>
      <c r="E46">
        <f t="shared" si="3"/>
        <v>2.0350000000000001</v>
      </c>
      <c r="K46" t="e">
        <f>VLOOKUP(A46,IC_raw!$C$2:$E$111,3,FALSE)</f>
        <v>#N/A</v>
      </c>
      <c r="L46" t="e">
        <f>VLOOKUP(A46,IC_raw!$C$2:$E$111,2,FALSE)</f>
        <v>#N/A</v>
      </c>
    </row>
    <row r="47" spans="1:13" x14ac:dyDescent="0.2">
      <c r="A47" t="s">
        <v>229</v>
      </c>
      <c r="B47" s="1">
        <f t="shared" si="4"/>
        <v>45933.96597222222</v>
      </c>
      <c r="C47" s="1">
        <f t="shared" si="5"/>
        <v>45934.21597222222</v>
      </c>
      <c r="F47">
        <v>8.18</v>
      </c>
      <c r="G47">
        <v>853</v>
      </c>
      <c r="H47">
        <v>14.5</v>
      </c>
      <c r="I47">
        <f>3/62*14</f>
        <v>0.67741935483870963</v>
      </c>
      <c r="K47">
        <f>VLOOKUP(A47,IC_raw!$C$2:$E$111,3,FALSE)</f>
        <v>0.82</v>
      </c>
      <c r="L47">
        <f>VLOOKUP(A47,IC_raw!$C$2:$E$111,2,FALSE)</f>
        <v>68.47</v>
      </c>
    </row>
    <row r="48" spans="1:13" x14ac:dyDescent="0.2">
      <c r="A48" t="s">
        <v>230</v>
      </c>
      <c r="B48" s="1">
        <f t="shared" si="4"/>
        <v>45934.21597222222</v>
      </c>
      <c r="C48" s="1">
        <f t="shared" si="5"/>
        <v>45934.46597222222</v>
      </c>
      <c r="K48" t="e">
        <f>VLOOKUP(A48,IC_raw!$C$2:$E$111,3,FALSE)</f>
        <v>#N/A</v>
      </c>
      <c r="L48" t="e">
        <f>VLOOKUP(A48,IC_raw!$C$2:$E$111,2,FALSE)</f>
        <v>#N/A</v>
      </c>
      <c r="M48" t="s">
        <v>287</v>
      </c>
    </row>
    <row r="49" spans="1:12" x14ac:dyDescent="0.2">
      <c r="A49" t="s">
        <v>231</v>
      </c>
      <c r="B49" s="1">
        <f t="shared" si="4"/>
        <v>45934.46597222222</v>
      </c>
      <c r="C49" s="1">
        <f t="shared" si="5"/>
        <v>45934.71597222222</v>
      </c>
      <c r="K49" t="e">
        <f>VLOOKUP(A49,IC_raw!$C$2:$E$111,3,FALSE)</f>
        <v>#N/A</v>
      </c>
      <c r="L49" t="e">
        <f>VLOOKUP(A49,IC_raw!$C$2:$E$111,2,FALSE)</f>
        <v>#N/A</v>
      </c>
    </row>
    <row r="50" spans="1:12" x14ac:dyDescent="0.2">
      <c r="A50" t="s">
        <v>232</v>
      </c>
      <c r="B50" s="1">
        <f t="shared" si="4"/>
        <v>45934.71597222222</v>
      </c>
      <c r="C50" s="1">
        <f t="shared" si="5"/>
        <v>45934.96597222222</v>
      </c>
      <c r="D50">
        <v>18.96</v>
      </c>
      <c r="E50">
        <f t="shared" ref="E50:E81" si="6">(D50-6.75)/6</f>
        <v>2.0350000000000001</v>
      </c>
      <c r="K50" t="e">
        <f>VLOOKUP(A50,IC_raw!$C$2:$E$111,3,FALSE)</f>
        <v>#N/A</v>
      </c>
      <c r="L50" t="e">
        <f>VLOOKUP(A50,IC_raw!$C$2:$E$111,2,FALSE)</f>
        <v>#N/A</v>
      </c>
    </row>
    <row r="51" spans="1:12" x14ac:dyDescent="0.2">
      <c r="A51" t="s">
        <v>233</v>
      </c>
      <c r="B51" s="1">
        <f t="shared" si="4"/>
        <v>45934.96597222222</v>
      </c>
      <c r="C51" s="1">
        <f t="shared" si="5"/>
        <v>45935.21597222222</v>
      </c>
      <c r="D51">
        <v>18.48</v>
      </c>
      <c r="E51">
        <f t="shared" si="6"/>
        <v>1.9550000000000001</v>
      </c>
      <c r="K51" t="e">
        <f>VLOOKUP(A51,IC_raw!$C$2:$E$111,3,FALSE)</f>
        <v>#N/A</v>
      </c>
      <c r="L51" t="e">
        <f>VLOOKUP(A51,IC_raw!$C$2:$E$111,2,FALSE)</f>
        <v>#N/A</v>
      </c>
    </row>
    <row r="52" spans="1:12" x14ac:dyDescent="0.2">
      <c r="A52" t="s">
        <v>234</v>
      </c>
      <c r="B52" s="1">
        <f t="shared" si="4"/>
        <v>45935.21597222222</v>
      </c>
      <c r="C52" s="1">
        <f t="shared" si="5"/>
        <v>45935.46597222222</v>
      </c>
      <c r="D52">
        <v>18.850000000000001</v>
      </c>
      <c r="E52">
        <f t="shared" si="6"/>
        <v>2.0166666666666671</v>
      </c>
      <c r="K52" t="e">
        <f>VLOOKUP(A52,IC_raw!$C$2:$E$111,3,FALSE)</f>
        <v>#N/A</v>
      </c>
      <c r="L52" t="e">
        <f>VLOOKUP(A52,IC_raw!$C$2:$E$111,2,FALSE)</f>
        <v>#N/A</v>
      </c>
    </row>
    <row r="53" spans="1:12" x14ac:dyDescent="0.2">
      <c r="A53" t="s">
        <v>235</v>
      </c>
      <c r="B53" s="1">
        <f t="shared" si="4"/>
        <v>45935.46597222222</v>
      </c>
      <c r="C53" s="1">
        <f t="shared" si="5"/>
        <v>45935.71597222222</v>
      </c>
      <c r="D53">
        <v>18.600000000000001</v>
      </c>
      <c r="E53">
        <f t="shared" si="6"/>
        <v>1.9750000000000003</v>
      </c>
      <c r="K53" t="e">
        <f>VLOOKUP(A53,IC_raw!$C$2:$E$111,3,FALSE)</f>
        <v>#N/A</v>
      </c>
      <c r="L53" t="e">
        <f>VLOOKUP(A53,IC_raw!$C$2:$E$111,2,FALSE)</f>
        <v>#N/A</v>
      </c>
    </row>
    <row r="54" spans="1:12" x14ac:dyDescent="0.2">
      <c r="A54" t="s">
        <v>236</v>
      </c>
      <c r="B54" s="1">
        <f t="shared" si="4"/>
        <v>45935.71597222222</v>
      </c>
      <c r="C54" s="1">
        <f t="shared" si="5"/>
        <v>45935.96597222222</v>
      </c>
      <c r="D54">
        <v>19.07</v>
      </c>
      <c r="E54">
        <f t="shared" si="6"/>
        <v>2.0533333333333332</v>
      </c>
      <c r="K54" t="e">
        <f>VLOOKUP(A54,IC_raw!$C$2:$E$111,3,FALSE)</f>
        <v>#N/A</v>
      </c>
      <c r="L54" t="e">
        <f>VLOOKUP(A54,IC_raw!$C$2:$E$111,2,FALSE)</f>
        <v>#N/A</v>
      </c>
    </row>
    <row r="55" spans="1:12" x14ac:dyDescent="0.2">
      <c r="A55" t="s">
        <v>237</v>
      </c>
      <c r="B55" s="1">
        <f t="shared" si="4"/>
        <v>45935.96597222222</v>
      </c>
      <c r="C55" s="1">
        <f t="shared" si="5"/>
        <v>45936.21597222222</v>
      </c>
      <c r="D55">
        <v>18.7</v>
      </c>
      <c r="E55">
        <f t="shared" si="6"/>
        <v>1.9916666666666665</v>
      </c>
      <c r="K55" t="e">
        <f>VLOOKUP(A55,IC_raw!$C$2:$E$111,3,FALSE)</f>
        <v>#N/A</v>
      </c>
      <c r="L55" t="e">
        <f>VLOOKUP(A55,IC_raw!$C$2:$E$111,2,FALSE)</f>
        <v>#N/A</v>
      </c>
    </row>
    <row r="56" spans="1:12" x14ac:dyDescent="0.2">
      <c r="A56" t="s">
        <v>238</v>
      </c>
      <c r="B56" s="1">
        <f t="shared" si="4"/>
        <v>45936.21597222222</v>
      </c>
      <c r="C56" s="1">
        <f t="shared" si="5"/>
        <v>45936.46597222222</v>
      </c>
      <c r="D56">
        <v>18.77</v>
      </c>
      <c r="E56">
        <f t="shared" si="6"/>
        <v>2.0033333333333334</v>
      </c>
      <c r="F56">
        <v>7.96</v>
      </c>
      <c r="G56">
        <v>823</v>
      </c>
      <c r="H56">
        <v>14.1</v>
      </c>
      <c r="I56">
        <f>3/62*14</f>
        <v>0.67741935483870963</v>
      </c>
    </row>
    <row r="57" spans="1:12" x14ac:dyDescent="0.2">
      <c r="A57" t="s">
        <v>312</v>
      </c>
      <c r="B57" s="1">
        <f t="shared" ref="B57:B80" si="7">C56</f>
        <v>45936.46597222222</v>
      </c>
      <c r="C57" s="1">
        <f t="shared" ref="C57:C80" si="8">B57+6/24</f>
        <v>45936.71597222222</v>
      </c>
      <c r="K57" t="e">
        <f>VLOOKUP(A57,IC_raw!$C$2:$E$111,3,FALSE)</f>
        <v>#N/A</v>
      </c>
      <c r="L57" t="e">
        <f>VLOOKUP(A57,IC_raw!$C$2:$E$111,2,FALSE)</f>
        <v>#N/A</v>
      </c>
    </row>
    <row r="58" spans="1:12" x14ac:dyDescent="0.2">
      <c r="A58" t="s">
        <v>313</v>
      </c>
      <c r="B58" s="1">
        <f t="shared" si="7"/>
        <v>45936.71597222222</v>
      </c>
      <c r="C58" s="1">
        <f t="shared" si="8"/>
        <v>45936.96597222222</v>
      </c>
      <c r="D58">
        <v>18.7</v>
      </c>
      <c r="E58">
        <f t="shared" si="6"/>
        <v>1.9916666666666665</v>
      </c>
      <c r="H58">
        <v>14</v>
      </c>
      <c r="I58">
        <f t="shared" ref="I58:I61" si="9">3/62*14</f>
        <v>0.67741935483870963</v>
      </c>
    </row>
    <row r="59" spans="1:12" x14ac:dyDescent="0.2">
      <c r="A59" t="s">
        <v>314</v>
      </c>
      <c r="B59" s="1">
        <f t="shared" si="7"/>
        <v>45936.96597222222</v>
      </c>
      <c r="C59" s="1">
        <f t="shared" si="8"/>
        <v>45937.21597222222</v>
      </c>
      <c r="D59">
        <v>18.71</v>
      </c>
      <c r="E59">
        <f t="shared" si="6"/>
        <v>1.9933333333333334</v>
      </c>
      <c r="H59">
        <v>10.9</v>
      </c>
      <c r="I59">
        <f t="shared" si="9"/>
        <v>0.67741935483870963</v>
      </c>
      <c r="K59">
        <f>VLOOKUP(A59,IC_raw!$C$2:$E$111,3,FALSE)</f>
        <v>1.57</v>
      </c>
      <c r="L59">
        <f>VLOOKUP(A59,IC_raw!$C$2:$E$111,2,FALSE)</f>
        <v>1.04</v>
      </c>
    </row>
    <row r="60" spans="1:12" x14ac:dyDescent="0.2">
      <c r="A60" t="s">
        <v>315</v>
      </c>
      <c r="B60" s="1">
        <f t="shared" si="7"/>
        <v>45937.21597222222</v>
      </c>
      <c r="C60" s="1">
        <f t="shared" si="8"/>
        <v>45937.46597222222</v>
      </c>
      <c r="D60">
        <v>18.59</v>
      </c>
      <c r="E60">
        <f t="shared" si="6"/>
        <v>1.9733333333333334</v>
      </c>
      <c r="H60">
        <v>7.18</v>
      </c>
      <c r="I60">
        <f t="shared" si="9"/>
        <v>0.67741935483870963</v>
      </c>
    </row>
    <row r="61" spans="1:12" x14ac:dyDescent="0.2">
      <c r="A61" t="s">
        <v>316</v>
      </c>
      <c r="B61" s="1">
        <f t="shared" si="7"/>
        <v>45937.46597222222</v>
      </c>
      <c r="C61" s="1">
        <f t="shared" si="8"/>
        <v>45937.71597222222</v>
      </c>
      <c r="D61">
        <v>18.63</v>
      </c>
      <c r="E61">
        <f t="shared" si="6"/>
        <v>1.9799999999999998</v>
      </c>
      <c r="H61">
        <v>6.76</v>
      </c>
      <c r="I61">
        <f t="shared" si="9"/>
        <v>0.67741935483870963</v>
      </c>
      <c r="K61">
        <f>VLOOKUP(A61,IC_raw!$C$2:$E$111,3,FALSE)</f>
        <v>1.17</v>
      </c>
      <c r="L61">
        <f>VLOOKUP(A61,IC_raw!$C$2:$E$111,2,FALSE)</f>
        <v>30.5</v>
      </c>
    </row>
    <row r="62" spans="1:12" x14ac:dyDescent="0.2">
      <c r="A62" t="s">
        <v>317</v>
      </c>
      <c r="B62" s="1">
        <f t="shared" si="7"/>
        <v>45937.71597222222</v>
      </c>
      <c r="C62" s="1">
        <f t="shared" si="8"/>
        <v>45937.96597222222</v>
      </c>
      <c r="D62">
        <v>18.21</v>
      </c>
      <c r="E62">
        <f t="shared" si="6"/>
        <v>1.9100000000000001</v>
      </c>
      <c r="K62" t="e">
        <f>VLOOKUP(A62,IC_raw!$C$2:$E$111,3,FALSE)</f>
        <v>#N/A</v>
      </c>
      <c r="L62" t="e">
        <f>VLOOKUP(A62,IC_raw!$C$2:$E$111,2,FALSE)</f>
        <v>#N/A</v>
      </c>
    </row>
    <row r="63" spans="1:12" x14ac:dyDescent="0.2">
      <c r="A63" t="s">
        <v>318</v>
      </c>
      <c r="B63" s="1">
        <f t="shared" si="7"/>
        <v>45937.96597222222</v>
      </c>
      <c r="C63" s="1">
        <f t="shared" si="8"/>
        <v>45938.21597222222</v>
      </c>
      <c r="D63">
        <v>18.73</v>
      </c>
      <c r="E63">
        <f t="shared" si="6"/>
        <v>1.9966666666666668</v>
      </c>
      <c r="K63" t="e">
        <f>VLOOKUP(A63,IC_raw!$C$2:$E$111,3,FALSE)</f>
        <v>#N/A</v>
      </c>
      <c r="L63" t="e">
        <f>VLOOKUP(A63,IC_raw!$C$2:$E$111,2,FALSE)</f>
        <v>#N/A</v>
      </c>
    </row>
    <row r="64" spans="1:12" x14ac:dyDescent="0.2">
      <c r="A64" t="s">
        <v>319</v>
      </c>
      <c r="B64" s="1">
        <f t="shared" si="7"/>
        <v>45938.21597222222</v>
      </c>
      <c r="C64" s="1">
        <f t="shared" si="8"/>
        <v>45938.46597222222</v>
      </c>
      <c r="D64">
        <v>18.7</v>
      </c>
      <c r="E64">
        <f t="shared" si="6"/>
        <v>1.9916666666666665</v>
      </c>
      <c r="F64">
        <v>8.09</v>
      </c>
      <c r="G64">
        <v>720</v>
      </c>
      <c r="H64">
        <v>6.74</v>
      </c>
      <c r="I64">
        <f>3/62*14</f>
        <v>0.67741935483870963</v>
      </c>
    </row>
    <row r="65" spans="1:12" x14ac:dyDescent="0.2">
      <c r="A65" t="s">
        <v>320</v>
      </c>
      <c r="B65" s="1">
        <f t="shared" si="7"/>
        <v>45938.46597222222</v>
      </c>
      <c r="C65" s="1">
        <f t="shared" si="8"/>
        <v>45938.71597222222</v>
      </c>
      <c r="D65">
        <v>18.93</v>
      </c>
      <c r="E65">
        <f t="shared" si="6"/>
        <v>2.0299999999999998</v>
      </c>
      <c r="K65" t="e">
        <f>VLOOKUP(A65,IC_raw!$C$2:$E$111,3,FALSE)</f>
        <v>#N/A</v>
      </c>
      <c r="L65" t="e">
        <f>VLOOKUP(A65,IC_raw!$C$2:$E$111,2,FALSE)</f>
        <v>#N/A</v>
      </c>
    </row>
    <row r="66" spans="1:12" x14ac:dyDescent="0.2">
      <c r="A66" t="s">
        <v>321</v>
      </c>
      <c r="B66" s="1">
        <f t="shared" si="7"/>
        <v>45938.71597222222</v>
      </c>
      <c r="C66" s="1">
        <f t="shared" si="8"/>
        <v>45938.96597222222</v>
      </c>
      <c r="D66">
        <v>19</v>
      </c>
      <c r="E66">
        <f t="shared" si="6"/>
        <v>2.0416666666666665</v>
      </c>
      <c r="K66" t="e">
        <f>VLOOKUP(A66,IC_raw!$C$2:$E$111,3,FALSE)</f>
        <v>#N/A</v>
      </c>
      <c r="L66" t="e">
        <f>VLOOKUP(A66,IC_raw!$C$2:$E$111,2,FALSE)</f>
        <v>#N/A</v>
      </c>
    </row>
    <row r="67" spans="1:12" x14ac:dyDescent="0.2">
      <c r="A67" t="s">
        <v>322</v>
      </c>
      <c r="B67" s="1">
        <f t="shared" si="7"/>
        <v>45938.96597222222</v>
      </c>
      <c r="C67" s="1">
        <f t="shared" si="8"/>
        <v>45939.21597222222</v>
      </c>
      <c r="D67">
        <v>18.920000000000002</v>
      </c>
      <c r="E67">
        <f t="shared" si="6"/>
        <v>2.0283333333333338</v>
      </c>
      <c r="K67" t="e">
        <f>VLOOKUP(A67,IC_raw!$C$2:$E$111,3,FALSE)</f>
        <v>#N/A</v>
      </c>
      <c r="L67" t="e">
        <f>VLOOKUP(A67,IC_raw!$C$2:$E$111,2,FALSE)</f>
        <v>#N/A</v>
      </c>
    </row>
    <row r="68" spans="1:12" x14ac:dyDescent="0.2">
      <c r="A68" t="s">
        <v>323</v>
      </c>
      <c r="B68" s="1">
        <f t="shared" si="7"/>
        <v>45939.21597222222</v>
      </c>
      <c r="C68" s="1">
        <f t="shared" si="8"/>
        <v>45939.46597222222</v>
      </c>
      <c r="D68">
        <v>18.850000000000001</v>
      </c>
      <c r="E68">
        <f t="shared" si="6"/>
        <v>2.0166666666666671</v>
      </c>
      <c r="F68">
        <v>8.1</v>
      </c>
      <c r="G68">
        <v>711</v>
      </c>
      <c r="H68">
        <v>7.25</v>
      </c>
      <c r="I68">
        <f>3/62*14</f>
        <v>0.67741935483870963</v>
      </c>
    </row>
    <row r="69" spans="1:12" x14ac:dyDescent="0.2">
      <c r="A69" t="s">
        <v>324</v>
      </c>
      <c r="B69" s="1">
        <f t="shared" si="7"/>
        <v>45939.46597222222</v>
      </c>
      <c r="C69" s="1">
        <f t="shared" si="8"/>
        <v>45939.71597222222</v>
      </c>
      <c r="D69">
        <v>18.920000000000002</v>
      </c>
      <c r="E69">
        <f t="shared" si="6"/>
        <v>2.0283333333333338</v>
      </c>
      <c r="K69" t="e">
        <f>VLOOKUP(A69,IC_raw!$C$2:$E$111,3,FALSE)</f>
        <v>#N/A</v>
      </c>
      <c r="L69" t="e">
        <f>VLOOKUP(A69,IC_raw!$C$2:$E$111,2,FALSE)</f>
        <v>#N/A</v>
      </c>
    </row>
    <row r="70" spans="1:12" x14ac:dyDescent="0.2">
      <c r="A70" t="s">
        <v>325</v>
      </c>
      <c r="B70" s="1">
        <f t="shared" si="7"/>
        <v>45939.71597222222</v>
      </c>
      <c r="C70" s="1">
        <f t="shared" si="8"/>
        <v>45939.96597222222</v>
      </c>
      <c r="D70">
        <v>18.02</v>
      </c>
      <c r="E70">
        <f t="shared" si="6"/>
        <v>1.8783333333333332</v>
      </c>
      <c r="K70" t="e">
        <f>VLOOKUP(A70,IC_raw!$C$2:$E$111,3,FALSE)</f>
        <v>#N/A</v>
      </c>
      <c r="L70" t="e">
        <f>VLOOKUP(A70,IC_raw!$C$2:$E$111,2,FALSE)</f>
        <v>#N/A</v>
      </c>
    </row>
    <row r="71" spans="1:12" x14ac:dyDescent="0.2">
      <c r="A71" t="s">
        <v>326</v>
      </c>
      <c r="B71" s="1">
        <f t="shared" si="7"/>
        <v>45939.96597222222</v>
      </c>
      <c r="C71" s="1">
        <f t="shared" si="8"/>
        <v>45940.21597222222</v>
      </c>
      <c r="D71">
        <v>18.91</v>
      </c>
      <c r="E71">
        <f t="shared" si="6"/>
        <v>2.0266666666666668</v>
      </c>
      <c r="H71">
        <v>7.33</v>
      </c>
      <c r="I71">
        <f>3/62*14</f>
        <v>0.67741935483870963</v>
      </c>
      <c r="K71">
        <f>VLOOKUP(A71,IC_raw!$C$2:$E$111,3,FALSE)</f>
        <v>0.71</v>
      </c>
      <c r="L71">
        <f>VLOOKUP(A71,IC_raw!$C$2:$E$111,2,FALSE)</f>
        <v>0.97</v>
      </c>
    </row>
    <row r="72" spans="1:12" x14ac:dyDescent="0.2">
      <c r="A72" t="s">
        <v>327</v>
      </c>
      <c r="B72" s="1">
        <f t="shared" si="7"/>
        <v>45940.21597222222</v>
      </c>
      <c r="C72" s="1">
        <f t="shared" si="8"/>
        <v>45940.46597222222</v>
      </c>
      <c r="D72">
        <v>18.989999999999998</v>
      </c>
      <c r="E72">
        <f t="shared" si="6"/>
        <v>2.0399999999999996</v>
      </c>
      <c r="K72" t="e">
        <f>VLOOKUP(A72,IC_raw!$C$2:$E$111,3,FALSE)</f>
        <v>#N/A</v>
      </c>
      <c r="L72" t="e">
        <f>VLOOKUP(A72,IC_raw!$C$2:$E$111,2,FALSE)</f>
        <v>#N/A</v>
      </c>
    </row>
    <row r="73" spans="1:12" x14ac:dyDescent="0.2">
      <c r="A73" t="s">
        <v>328</v>
      </c>
      <c r="B73" s="1">
        <f t="shared" si="7"/>
        <v>45940.46597222222</v>
      </c>
      <c r="C73" s="1">
        <f t="shared" si="8"/>
        <v>45940.71597222222</v>
      </c>
      <c r="D73">
        <v>18.48</v>
      </c>
      <c r="E73">
        <f t="shared" si="6"/>
        <v>1.9550000000000001</v>
      </c>
      <c r="K73" t="e">
        <f>VLOOKUP(A73,IC_raw!$C$2:$E$111,3,FALSE)</f>
        <v>#N/A</v>
      </c>
      <c r="L73" t="e">
        <f>VLOOKUP(A73,IC_raw!$C$2:$E$111,2,FALSE)</f>
        <v>#N/A</v>
      </c>
    </row>
    <row r="74" spans="1:12" x14ac:dyDescent="0.2">
      <c r="A74" t="s">
        <v>329</v>
      </c>
      <c r="B74" s="1">
        <f t="shared" si="7"/>
        <v>45940.71597222222</v>
      </c>
      <c r="C74" s="1">
        <f t="shared" si="8"/>
        <v>45940.96597222222</v>
      </c>
      <c r="D74">
        <v>18.850000000000001</v>
      </c>
      <c r="E74">
        <f t="shared" si="6"/>
        <v>2.0166666666666671</v>
      </c>
      <c r="K74" t="e">
        <f>VLOOKUP(A74,IC_raw!$C$2:$E$111,3,FALSE)</f>
        <v>#N/A</v>
      </c>
      <c r="L74" t="e">
        <f>VLOOKUP(A74,IC_raw!$C$2:$E$111,2,FALSE)</f>
        <v>#N/A</v>
      </c>
    </row>
    <row r="75" spans="1:12" x14ac:dyDescent="0.2">
      <c r="A75" t="s">
        <v>330</v>
      </c>
      <c r="B75" s="1">
        <f t="shared" si="7"/>
        <v>45940.96597222222</v>
      </c>
      <c r="C75" s="1">
        <f t="shared" si="8"/>
        <v>45941.21597222222</v>
      </c>
      <c r="D75">
        <v>18.53</v>
      </c>
      <c r="E75">
        <f t="shared" si="6"/>
        <v>1.9633333333333336</v>
      </c>
      <c r="K75" t="e">
        <f>VLOOKUP(A75,IC_raw!$C$2:$E$111,3,FALSE)</f>
        <v>#N/A</v>
      </c>
      <c r="L75" t="e">
        <f>VLOOKUP(A75,IC_raw!$C$2:$E$111,2,FALSE)</f>
        <v>#N/A</v>
      </c>
    </row>
    <row r="76" spans="1:12" x14ac:dyDescent="0.2">
      <c r="A76" t="s">
        <v>331</v>
      </c>
      <c r="B76" s="1">
        <f t="shared" si="7"/>
        <v>45941.21597222222</v>
      </c>
      <c r="C76" s="1">
        <f t="shared" si="8"/>
        <v>45941.46597222222</v>
      </c>
      <c r="D76">
        <v>18.75</v>
      </c>
      <c r="E76">
        <f t="shared" si="6"/>
        <v>2</v>
      </c>
      <c r="H76">
        <v>7.52</v>
      </c>
      <c r="I76">
        <f>3/62*14</f>
        <v>0.67741935483870963</v>
      </c>
      <c r="K76">
        <f>VLOOKUP(A76,IC_raw!$C$2:$E$111,3,FALSE)</f>
        <v>1.1100000000000001</v>
      </c>
      <c r="L76">
        <f>VLOOKUP(A76,IC_raw!$C$2:$E$111,2,FALSE)</f>
        <v>33.549999999999997</v>
      </c>
    </row>
    <row r="77" spans="1:12" x14ac:dyDescent="0.2">
      <c r="A77" t="s">
        <v>332</v>
      </c>
      <c r="B77" s="1">
        <f t="shared" si="7"/>
        <v>45941.46597222222</v>
      </c>
      <c r="C77" s="1">
        <f t="shared" si="8"/>
        <v>45941.71597222222</v>
      </c>
      <c r="D77">
        <v>18.059999999999999</v>
      </c>
      <c r="E77">
        <f t="shared" si="6"/>
        <v>1.8849999999999998</v>
      </c>
      <c r="K77" t="e">
        <f>VLOOKUP(A77,IC_raw!$C$2:$E$111,3,FALSE)</f>
        <v>#N/A</v>
      </c>
      <c r="L77" t="e">
        <f>VLOOKUP(A77,IC_raw!$C$2:$E$111,2,FALSE)</f>
        <v>#N/A</v>
      </c>
    </row>
    <row r="78" spans="1:12" x14ac:dyDescent="0.2">
      <c r="A78" t="s">
        <v>333</v>
      </c>
      <c r="B78" s="1">
        <f t="shared" si="7"/>
        <v>45941.71597222222</v>
      </c>
      <c r="C78" s="1">
        <f t="shared" si="8"/>
        <v>45941.96597222222</v>
      </c>
      <c r="D78">
        <v>18.75</v>
      </c>
      <c r="E78">
        <f t="shared" si="6"/>
        <v>2</v>
      </c>
      <c r="K78" t="e">
        <f>VLOOKUP(A78,IC_raw!$C$2:$E$111,3,FALSE)</f>
        <v>#N/A</v>
      </c>
      <c r="L78" t="e">
        <f>VLOOKUP(A78,IC_raw!$C$2:$E$111,2,FALSE)</f>
        <v>#N/A</v>
      </c>
    </row>
    <row r="79" spans="1:12" x14ac:dyDescent="0.2">
      <c r="A79" t="s">
        <v>334</v>
      </c>
      <c r="B79" s="1">
        <f t="shared" si="7"/>
        <v>45941.96597222222</v>
      </c>
      <c r="C79" s="1">
        <f t="shared" si="8"/>
        <v>45942.21597222222</v>
      </c>
      <c r="D79">
        <v>18.89</v>
      </c>
      <c r="E79">
        <f t="shared" si="6"/>
        <v>2.0233333333333334</v>
      </c>
      <c r="K79" t="e">
        <f>VLOOKUP(A79,IC_raw!$C$2:$E$111,3,FALSE)</f>
        <v>#N/A</v>
      </c>
      <c r="L79" t="e">
        <f>VLOOKUP(A79,IC_raw!$C$2:$E$111,2,FALSE)</f>
        <v>#N/A</v>
      </c>
    </row>
    <row r="80" spans="1:12" x14ac:dyDescent="0.2">
      <c r="A80" t="s">
        <v>335</v>
      </c>
      <c r="B80" s="1">
        <f t="shared" si="7"/>
        <v>45942.21597222222</v>
      </c>
      <c r="C80" s="1">
        <f t="shared" si="8"/>
        <v>45942.46597222222</v>
      </c>
      <c r="D80">
        <v>18.53</v>
      </c>
      <c r="E80">
        <f t="shared" si="6"/>
        <v>1.9633333333333336</v>
      </c>
      <c r="K80" t="e">
        <f>VLOOKUP(A80,IC_raw!$C$2:$E$111,3,FALSE)</f>
        <v>#N/A</v>
      </c>
      <c r="L80" t="e">
        <f>VLOOKUP(A80,IC_raw!$C$2:$E$111,2,FALSE)</f>
        <v>#N/A</v>
      </c>
    </row>
    <row r="81" spans="1:12" x14ac:dyDescent="0.2">
      <c r="A81" t="s">
        <v>448</v>
      </c>
      <c r="B81" s="1">
        <f t="shared" ref="B81:B82" si="10">C80</f>
        <v>45942.46597222222</v>
      </c>
      <c r="C81" s="1">
        <f t="shared" ref="C81:C82" si="11">B81+6/24</f>
        <v>45942.71597222222</v>
      </c>
      <c r="D81">
        <v>18.89</v>
      </c>
      <c r="E81">
        <f t="shared" si="6"/>
        <v>2.0233333333333334</v>
      </c>
      <c r="F81">
        <v>8.3800000000000008</v>
      </c>
      <c r="G81">
        <v>675</v>
      </c>
      <c r="H81">
        <v>7.54</v>
      </c>
      <c r="I81">
        <f>3/62*14</f>
        <v>0.67741935483870963</v>
      </c>
      <c r="K81">
        <f>VLOOKUP(A81,IC_raw!$C$2:$E$111,3,FALSE)</f>
        <v>1.1399999999999999</v>
      </c>
      <c r="L81">
        <f>VLOOKUP(A81,IC_raw!$C$2:$E$111,2,FALSE)</f>
        <v>33.85</v>
      </c>
    </row>
    <row r="82" spans="1:12" x14ac:dyDescent="0.2">
      <c r="A82" t="s">
        <v>449</v>
      </c>
      <c r="B82" s="1">
        <f t="shared" si="10"/>
        <v>45942.71597222222</v>
      </c>
      <c r="C82" s="1">
        <f t="shared" si="11"/>
        <v>45942.96597222222</v>
      </c>
      <c r="K82" t="e">
        <f>VLOOKUP(A82,IC_raw!$C$2:$E$111,3,FALSE)</f>
        <v>#N/A</v>
      </c>
      <c r="L82" t="e">
        <f>VLOOKUP(A82,IC_raw!$C$2:$E$111,2,FALSE)</f>
        <v>#N/A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D004-07E5-F04F-B76F-816E14D1C8AC}">
  <dimension ref="A1:M82"/>
  <sheetViews>
    <sheetView workbookViewId="0">
      <selection activeCell="E35" sqref="E35"/>
    </sheetView>
  </sheetViews>
  <sheetFormatPr baseColWidth="10" defaultRowHeight="16" x14ac:dyDescent="0.2"/>
  <cols>
    <col min="2" max="3" width="13" bestFit="1" customWidth="1"/>
  </cols>
  <sheetData>
    <row r="1" spans="1:13" x14ac:dyDescent="0.2">
      <c r="A1" t="s">
        <v>0</v>
      </c>
      <c r="B1" t="s">
        <v>437</v>
      </c>
      <c r="C1" t="s">
        <v>438</v>
      </c>
      <c r="D1" t="s">
        <v>3</v>
      </c>
      <c r="E1" t="s">
        <v>4</v>
      </c>
      <c r="F1" t="s">
        <v>5</v>
      </c>
      <c r="G1" t="s">
        <v>6</v>
      </c>
      <c r="H1" t="s">
        <v>387</v>
      </c>
      <c r="I1" t="s">
        <v>468</v>
      </c>
      <c r="J1" t="s">
        <v>44</v>
      </c>
      <c r="K1" t="s">
        <v>45</v>
      </c>
      <c r="L1" t="s">
        <v>46</v>
      </c>
      <c r="M1" t="s">
        <v>159</v>
      </c>
    </row>
    <row r="2" spans="1:13" x14ac:dyDescent="0.2">
      <c r="A2" t="s">
        <v>14</v>
      </c>
      <c r="B2" s="1">
        <v>45922.71597222222</v>
      </c>
      <c r="C2" s="1">
        <f>B2+6/24</f>
        <v>45922.96597222222</v>
      </c>
      <c r="D2">
        <v>17.64</v>
      </c>
      <c r="E2">
        <f t="shared" ref="E2:E81" si="0">(D2-6.75)/6</f>
        <v>1.8150000000000002</v>
      </c>
      <c r="K2" t="e">
        <f>VLOOKUP(A2,IC_raw!$C$2:$E$111,3,FALSE)</f>
        <v>#N/A</v>
      </c>
      <c r="L2" t="e">
        <f>VLOOKUP(A2,IC_raw!$C$2:$E$111,2,FALSE)</f>
        <v>#N/A</v>
      </c>
    </row>
    <row r="3" spans="1:13" x14ac:dyDescent="0.2">
      <c r="A3" t="s">
        <v>15</v>
      </c>
      <c r="B3" s="1">
        <f>C2</f>
        <v>45922.96597222222</v>
      </c>
      <c r="C3" s="1">
        <f>B3+6/24</f>
        <v>45923.21597222222</v>
      </c>
      <c r="D3">
        <v>17.88</v>
      </c>
      <c r="E3">
        <f t="shared" si="0"/>
        <v>1.8549999999999998</v>
      </c>
      <c r="K3" t="e">
        <f>VLOOKUP(A3,IC_raw!$C$2:$E$111,3,FALSE)</f>
        <v>#N/A</v>
      </c>
      <c r="L3" t="e">
        <f>VLOOKUP(A3,IC_raw!$C$2:$E$111,2,FALSE)</f>
        <v>#N/A</v>
      </c>
    </row>
    <row r="4" spans="1:13" x14ac:dyDescent="0.2">
      <c r="A4" t="s">
        <v>16</v>
      </c>
      <c r="B4" s="1">
        <f t="shared" ref="B4:B36" si="1">C3</f>
        <v>45923.21597222222</v>
      </c>
      <c r="C4" s="1">
        <f t="shared" ref="C4:C36" si="2">B4+6/24</f>
        <v>45923.46597222222</v>
      </c>
      <c r="D4">
        <v>17.850000000000001</v>
      </c>
      <c r="E4">
        <f t="shared" si="0"/>
        <v>1.8500000000000003</v>
      </c>
      <c r="F4">
        <v>8.2899999999999991</v>
      </c>
      <c r="G4">
        <v>773</v>
      </c>
      <c r="H4">
        <v>13.6</v>
      </c>
      <c r="I4">
        <f>3/62*14</f>
        <v>0.67741935483870963</v>
      </c>
      <c r="K4">
        <f>VLOOKUP(A4,IC_raw!$C$2:$E$111,3,FALSE)</f>
        <v>2.11</v>
      </c>
      <c r="L4">
        <f>VLOOKUP(A4,IC_raw!$C$2:$E$111,2,FALSE)</f>
        <v>51.44</v>
      </c>
    </row>
    <row r="5" spans="1:13" x14ac:dyDescent="0.2">
      <c r="A5" t="s">
        <v>34</v>
      </c>
      <c r="B5" s="1">
        <f t="shared" si="1"/>
        <v>45923.46597222222</v>
      </c>
      <c r="C5" s="1">
        <f t="shared" si="2"/>
        <v>45923.71597222222</v>
      </c>
      <c r="D5">
        <v>18.5</v>
      </c>
      <c r="E5">
        <f t="shared" si="0"/>
        <v>1.9583333333333333</v>
      </c>
      <c r="K5" t="e">
        <f>VLOOKUP(A5,IC_raw!$C$2:$E$111,3,FALSE)</f>
        <v>#N/A</v>
      </c>
      <c r="L5" t="e">
        <f>VLOOKUP(A5,IC_raw!$C$2:$E$111,2,FALSE)</f>
        <v>#N/A</v>
      </c>
    </row>
    <row r="6" spans="1:13" x14ac:dyDescent="0.2">
      <c r="A6" t="s">
        <v>35</v>
      </c>
      <c r="B6" s="1">
        <f t="shared" si="1"/>
        <v>45923.71597222222</v>
      </c>
      <c r="C6" s="1">
        <f t="shared" si="2"/>
        <v>45923.96597222222</v>
      </c>
      <c r="D6">
        <v>19.850000000000001</v>
      </c>
      <c r="E6">
        <f t="shared" si="0"/>
        <v>2.1833333333333336</v>
      </c>
      <c r="K6" t="e">
        <f>VLOOKUP(A6,IC_raw!$C$2:$E$111,3,FALSE)</f>
        <v>#N/A</v>
      </c>
      <c r="L6" t="e">
        <f>VLOOKUP(A6,IC_raw!$C$2:$E$111,2,FALSE)</f>
        <v>#N/A</v>
      </c>
    </row>
    <row r="7" spans="1:13" x14ac:dyDescent="0.2">
      <c r="A7" t="s">
        <v>36</v>
      </c>
      <c r="B7" s="1">
        <f t="shared" si="1"/>
        <v>45923.96597222222</v>
      </c>
      <c r="C7" s="1">
        <f t="shared" si="2"/>
        <v>45924.21597222222</v>
      </c>
      <c r="D7">
        <v>19.760000000000002</v>
      </c>
      <c r="E7">
        <f t="shared" si="0"/>
        <v>2.1683333333333334</v>
      </c>
      <c r="K7" t="e">
        <f>VLOOKUP(A7,IC_raw!$C$2:$E$111,3,FALSE)</f>
        <v>#N/A</v>
      </c>
      <c r="L7" t="e">
        <f>VLOOKUP(A7,IC_raw!$C$2:$E$111,2,FALSE)</f>
        <v>#N/A</v>
      </c>
    </row>
    <row r="8" spans="1:13" x14ac:dyDescent="0.2">
      <c r="A8" t="s">
        <v>37</v>
      </c>
      <c r="B8" s="1">
        <f t="shared" si="1"/>
        <v>45924.21597222222</v>
      </c>
      <c r="C8" s="1">
        <f t="shared" si="2"/>
        <v>45924.46597222222</v>
      </c>
      <c r="D8">
        <v>19.88</v>
      </c>
      <c r="E8">
        <f t="shared" si="0"/>
        <v>2.188333333333333</v>
      </c>
      <c r="K8" t="e">
        <f>VLOOKUP(A8,IC_raw!$C$2:$E$111,3,FALSE)</f>
        <v>#N/A</v>
      </c>
      <c r="L8" t="e">
        <f>VLOOKUP(A8,IC_raw!$C$2:$E$111,2,FALSE)</f>
        <v>#N/A</v>
      </c>
    </row>
    <row r="9" spans="1:13" x14ac:dyDescent="0.2">
      <c r="A9" t="s">
        <v>38</v>
      </c>
      <c r="B9" s="1">
        <f t="shared" si="1"/>
        <v>45924.46597222222</v>
      </c>
      <c r="C9" s="1">
        <f t="shared" si="2"/>
        <v>45924.71597222222</v>
      </c>
      <c r="F9">
        <v>8.1199999999999992</v>
      </c>
      <c r="G9">
        <v>648</v>
      </c>
      <c r="H9">
        <v>14.2</v>
      </c>
      <c r="I9">
        <f>3/62*14</f>
        <v>0.67741935483870963</v>
      </c>
      <c r="K9">
        <f>VLOOKUP(A9,IC_raw!$C$2:$E$111,3,FALSE)</f>
        <v>1.66</v>
      </c>
      <c r="L9">
        <f>VLOOKUP(A9,IC_raw!$C$2:$E$111,2,FALSE)</f>
        <v>51.9</v>
      </c>
    </row>
    <row r="10" spans="1:13" x14ac:dyDescent="0.2">
      <c r="A10" t="s">
        <v>105</v>
      </c>
      <c r="B10" s="1">
        <f t="shared" si="1"/>
        <v>45924.71597222222</v>
      </c>
      <c r="C10" s="1">
        <f t="shared" si="2"/>
        <v>45924.96597222222</v>
      </c>
      <c r="D10">
        <v>20.010000000000002</v>
      </c>
      <c r="E10">
        <f t="shared" si="0"/>
        <v>2.2100000000000004</v>
      </c>
      <c r="K10" t="e">
        <f>VLOOKUP(A10,IC_raw!$C$2:$E$111,3,FALSE)</f>
        <v>#N/A</v>
      </c>
      <c r="L10" t="e">
        <f>VLOOKUP(A10,IC_raw!$C$2:$E$111,2,FALSE)</f>
        <v>#N/A</v>
      </c>
    </row>
    <row r="11" spans="1:13" x14ac:dyDescent="0.2">
      <c r="A11" t="s">
        <v>106</v>
      </c>
      <c r="B11" s="1">
        <f t="shared" si="1"/>
        <v>45924.96597222222</v>
      </c>
      <c r="C11" s="1">
        <f t="shared" si="2"/>
        <v>45925.21597222222</v>
      </c>
      <c r="D11">
        <v>19.77</v>
      </c>
      <c r="E11">
        <f t="shared" si="0"/>
        <v>2.17</v>
      </c>
      <c r="K11" t="e">
        <f>VLOOKUP(A11,IC_raw!$C$2:$E$111,3,FALSE)</f>
        <v>#N/A</v>
      </c>
      <c r="L11" t="e">
        <f>VLOOKUP(A11,IC_raw!$C$2:$E$111,2,FALSE)</f>
        <v>#N/A</v>
      </c>
    </row>
    <row r="12" spans="1:13" x14ac:dyDescent="0.2">
      <c r="A12" t="s">
        <v>107</v>
      </c>
      <c r="B12" s="1">
        <f t="shared" si="1"/>
        <v>45925.21597222222</v>
      </c>
      <c r="C12" s="1">
        <f t="shared" si="2"/>
        <v>45925.46597222222</v>
      </c>
      <c r="D12">
        <v>19.96</v>
      </c>
      <c r="E12">
        <f t="shared" si="0"/>
        <v>2.2016666666666667</v>
      </c>
      <c r="K12" t="e">
        <f>VLOOKUP(A12,IC_raw!$C$2:$E$111,3,FALSE)</f>
        <v>#N/A</v>
      </c>
      <c r="L12" t="e">
        <f>VLOOKUP(A12,IC_raw!$C$2:$E$111,2,FALSE)</f>
        <v>#N/A</v>
      </c>
    </row>
    <row r="13" spans="1:13" x14ac:dyDescent="0.2">
      <c r="A13" t="s">
        <v>108</v>
      </c>
      <c r="B13" s="1">
        <f t="shared" si="1"/>
        <v>45925.46597222222</v>
      </c>
      <c r="C13" s="1">
        <f t="shared" si="2"/>
        <v>45925.71597222222</v>
      </c>
      <c r="D13">
        <v>20.100000000000001</v>
      </c>
      <c r="E13">
        <f t="shared" si="0"/>
        <v>2.2250000000000001</v>
      </c>
      <c r="K13" t="e">
        <f>VLOOKUP(A13,IC_raw!$C$2:$E$111,3,FALSE)</f>
        <v>#N/A</v>
      </c>
      <c r="L13" t="e">
        <f>VLOOKUP(A13,IC_raw!$C$2:$E$111,2,FALSE)</f>
        <v>#N/A</v>
      </c>
    </row>
    <row r="14" spans="1:13" x14ac:dyDescent="0.2">
      <c r="A14" t="s">
        <v>109</v>
      </c>
      <c r="B14" s="1">
        <f t="shared" si="1"/>
        <v>45925.71597222222</v>
      </c>
      <c r="C14" s="1">
        <f t="shared" si="2"/>
        <v>45925.96597222222</v>
      </c>
      <c r="D14">
        <v>19.57</v>
      </c>
      <c r="E14">
        <f t="shared" si="0"/>
        <v>2.1366666666666667</v>
      </c>
      <c r="K14" t="e">
        <f>VLOOKUP(A14,IC_raw!$C$2:$E$111,3,FALSE)</f>
        <v>#N/A</v>
      </c>
      <c r="L14" t="e">
        <f>VLOOKUP(A14,IC_raw!$C$2:$E$111,2,FALSE)</f>
        <v>#N/A</v>
      </c>
    </row>
    <row r="15" spans="1:13" x14ac:dyDescent="0.2">
      <c r="A15" t="s">
        <v>110</v>
      </c>
      <c r="B15" s="1">
        <f t="shared" si="1"/>
        <v>45925.96597222222</v>
      </c>
      <c r="C15" s="1">
        <f t="shared" si="2"/>
        <v>45926.21597222222</v>
      </c>
      <c r="D15">
        <v>19.86</v>
      </c>
      <c r="E15">
        <f t="shared" si="0"/>
        <v>2.1850000000000001</v>
      </c>
      <c r="K15" t="e">
        <f>VLOOKUP(A15,IC_raw!$C$2:$E$111,3,FALSE)</f>
        <v>#N/A</v>
      </c>
      <c r="L15" t="e">
        <f>VLOOKUP(A15,IC_raw!$C$2:$E$111,2,FALSE)</f>
        <v>#N/A</v>
      </c>
    </row>
    <row r="16" spans="1:13" x14ac:dyDescent="0.2">
      <c r="A16" t="s">
        <v>111</v>
      </c>
      <c r="B16" s="1">
        <f t="shared" si="1"/>
        <v>45926.21597222222</v>
      </c>
      <c r="C16" s="1">
        <f t="shared" si="2"/>
        <v>45926.46597222222</v>
      </c>
      <c r="D16">
        <v>19.89</v>
      </c>
      <c r="E16">
        <f t="shared" si="0"/>
        <v>2.19</v>
      </c>
      <c r="F16">
        <v>8.19</v>
      </c>
      <c r="G16">
        <v>878</v>
      </c>
      <c r="H16">
        <v>14</v>
      </c>
      <c r="I16">
        <f>3/62*14</f>
        <v>0.67741935483870963</v>
      </c>
      <c r="K16">
        <f>VLOOKUP(A16,IC_raw!$C$2:$E$111,3,FALSE)</f>
        <v>1.48</v>
      </c>
      <c r="L16">
        <f>VLOOKUP(A16,IC_raw!$C$2:$E$111,2,FALSE)</f>
        <v>56.2</v>
      </c>
      <c r="M16" t="s">
        <v>160</v>
      </c>
    </row>
    <row r="17" spans="1:13" x14ac:dyDescent="0.2">
      <c r="A17" t="s">
        <v>112</v>
      </c>
      <c r="B17" s="1">
        <f t="shared" si="1"/>
        <v>45926.46597222222</v>
      </c>
      <c r="C17" s="1">
        <f t="shared" si="2"/>
        <v>45926.71597222222</v>
      </c>
      <c r="K17" t="e">
        <f>VLOOKUP(A17,IC_raw!$C$2:$E$111,3,FALSE)</f>
        <v>#N/A</v>
      </c>
      <c r="L17" t="e">
        <f>VLOOKUP(A17,IC_raw!$C$2:$E$111,2,FALSE)</f>
        <v>#N/A</v>
      </c>
      <c r="M17" t="s">
        <v>161</v>
      </c>
    </row>
    <row r="18" spans="1:13" x14ac:dyDescent="0.2">
      <c r="A18" t="s">
        <v>113</v>
      </c>
      <c r="B18" s="1">
        <f t="shared" si="1"/>
        <v>45926.71597222222</v>
      </c>
      <c r="C18" s="1">
        <f t="shared" si="2"/>
        <v>45926.96597222222</v>
      </c>
      <c r="D18">
        <v>19.53</v>
      </c>
      <c r="E18">
        <f t="shared" si="0"/>
        <v>2.1300000000000003</v>
      </c>
      <c r="K18" t="e">
        <f>VLOOKUP(A18,IC_raw!$C$2:$E$111,3,FALSE)</f>
        <v>#N/A</v>
      </c>
      <c r="L18" t="e">
        <f>VLOOKUP(A18,IC_raw!$C$2:$E$111,2,FALSE)</f>
        <v>#N/A</v>
      </c>
    </row>
    <row r="19" spans="1:13" x14ac:dyDescent="0.2">
      <c r="A19" t="s">
        <v>114</v>
      </c>
      <c r="B19" s="1">
        <f t="shared" si="1"/>
        <v>45926.96597222222</v>
      </c>
      <c r="C19" s="1">
        <f t="shared" si="2"/>
        <v>45927.21597222222</v>
      </c>
      <c r="D19">
        <v>19.510000000000002</v>
      </c>
      <c r="E19">
        <f t="shared" si="0"/>
        <v>2.1266666666666669</v>
      </c>
      <c r="K19" t="e">
        <f>VLOOKUP(A19,IC_raw!$C$2:$E$111,3,FALSE)</f>
        <v>#N/A</v>
      </c>
      <c r="L19" t="e">
        <f>VLOOKUP(A19,IC_raw!$C$2:$E$111,2,FALSE)</f>
        <v>#N/A</v>
      </c>
    </row>
    <row r="20" spans="1:13" x14ac:dyDescent="0.2">
      <c r="A20" t="s">
        <v>115</v>
      </c>
      <c r="B20" s="1">
        <f t="shared" si="1"/>
        <v>45927.21597222222</v>
      </c>
      <c r="C20" s="1">
        <f t="shared" si="2"/>
        <v>45927.46597222222</v>
      </c>
      <c r="D20">
        <v>19.71</v>
      </c>
      <c r="E20">
        <f t="shared" si="0"/>
        <v>2.16</v>
      </c>
      <c r="K20" t="e">
        <f>VLOOKUP(A20,IC_raw!$C$2:$E$111,3,FALSE)</f>
        <v>#N/A</v>
      </c>
      <c r="L20" t="e">
        <f>VLOOKUP(A20,IC_raw!$C$2:$E$111,2,FALSE)</f>
        <v>#N/A</v>
      </c>
    </row>
    <row r="21" spans="1:13" x14ac:dyDescent="0.2">
      <c r="A21" t="s">
        <v>116</v>
      </c>
      <c r="B21" s="1">
        <f t="shared" si="1"/>
        <v>45927.46597222222</v>
      </c>
      <c r="C21" s="1">
        <f t="shared" si="2"/>
        <v>45927.71597222222</v>
      </c>
      <c r="D21">
        <v>19.45</v>
      </c>
      <c r="E21">
        <f t="shared" si="0"/>
        <v>2.1166666666666667</v>
      </c>
      <c r="K21" t="e">
        <f>VLOOKUP(A21,IC_raw!$C$2:$E$111,3,FALSE)</f>
        <v>#N/A</v>
      </c>
      <c r="L21" t="e">
        <f>VLOOKUP(A21,IC_raw!$C$2:$E$111,2,FALSE)</f>
        <v>#N/A</v>
      </c>
    </row>
    <row r="22" spans="1:13" x14ac:dyDescent="0.2">
      <c r="A22" t="s">
        <v>117</v>
      </c>
      <c r="B22" s="1">
        <f t="shared" si="1"/>
        <v>45927.71597222222</v>
      </c>
      <c r="C22" s="1">
        <f t="shared" si="2"/>
        <v>45927.96597222222</v>
      </c>
      <c r="D22">
        <v>19.66</v>
      </c>
      <c r="E22">
        <f t="shared" si="0"/>
        <v>2.1516666666666668</v>
      </c>
      <c r="K22" t="e">
        <f>VLOOKUP(A22,IC_raw!$C$2:$E$111,3,FALSE)</f>
        <v>#N/A</v>
      </c>
      <c r="L22" t="e">
        <f>VLOOKUP(A22,IC_raw!$C$2:$E$111,2,FALSE)</f>
        <v>#N/A</v>
      </c>
    </row>
    <row r="23" spans="1:13" x14ac:dyDescent="0.2">
      <c r="A23" t="s">
        <v>118</v>
      </c>
      <c r="B23" s="1">
        <f t="shared" si="1"/>
        <v>45927.96597222222</v>
      </c>
      <c r="C23" s="1">
        <f t="shared" si="2"/>
        <v>45928.21597222222</v>
      </c>
      <c r="D23">
        <v>19.86</v>
      </c>
      <c r="E23">
        <f t="shared" si="0"/>
        <v>2.1850000000000001</v>
      </c>
      <c r="K23" t="e">
        <f>VLOOKUP(A23,IC_raw!$C$2:$E$111,3,FALSE)</f>
        <v>#N/A</v>
      </c>
      <c r="L23" t="e">
        <f>VLOOKUP(A23,IC_raw!$C$2:$E$111,2,FALSE)</f>
        <v>#N/A</v>
      </c>
    </row>
    <row r="24" spans="1:13" x14ac:dyDescent="0.2">
      <c r="A24" t="s">
        <v>119</v>
      </c>
      <c r="B24" s="1">
        <f t="shared" si="1"/>
        <v>45928.21597222222</v>
      </c>
      <c r="C24" s="1">
        <f t="shared" si="2"/>
        <v>45928.46597222222</v>
      </c>
      <c r="D24">
        <v>19.850000000000001</v>
      </c>
      <c r="E24">
        <f t="shared" si="0"/>
        <v>2.1833333333333336</v>
      </c>
      <c r="F24">
        <v>8.08</v>
      </c>
      <c r="G24">
        <v>905</v>
      </c>
      <c r="H24">
        <v>13.2</v>
      </c>
      <c r="I24">
        <f>3/62*14</f>
        <v>0.67741935483870963</v>
      </c>
      <c r="K24">
        <f>VLOOKUP(A24,IC_raw!$C$2:$E$111,3,FALSE)</f>
        <v>1.35</v>
      </c>
      <c r="L24">
        <f>VLOOKUP(A24,IC_raw!$C$2:$E$111,2,FALSE)</f>
        <v>55.1</v>
      </c>
    </row>
    <row r="25" spans="1:13" x14ac:dyDescent="0.2">
      <c r="A25" t="s">
        <v>120</v>
      </c>
      <c r="B25" s="1">
        <f t="shared" si="1"/>
        <v>45928.46597222222</v>
      </c>
      <c r="C25" s="1">
        <f t="shared" si="2"/>
        <v>45928.71597222222</v>
      </c>
      <c r="D25">
        <v>19.88</v>
      </c>
      <c r="E25">
        <f t="shared" si="0"/>
        <v>2.188333333333333</v>
      </c>
      <c r="K25" t="e">
        <f>VLOOKUP(A25,IC_raw!$C$2:$E$111,3,FALSE)</f>
        <v>#N/A</v>
      </c>
      <c r="L25" t="e">
        <f>VLOOKUP(A25,IC_raw!$C$2:$E$111,2,FALSE)</f>
        <v>#N/A</v>
      </c>
    </row>
    <row r="26" spans="1:13" x14ac:dyDescent="0.2">
      <c r="A26" t="s">
        <v>121</v>
      </c>
      <c r="B26" s="1">
        <f t="shared" si="1"/>
        <v>45928.71597222222</v>
      </c>
      <c r="C26" s="1">
        <f t="shared" si="2"/>
        <v>45928.96597222222</v>
      </c>
      <c r="D26">
        <v>19.73</v>
      </c>
      <c r="E26">
        <f t="shared" si="0"/>
        <v>2.1633333333333336</v>
      </c>
      <c r="K26" t="e">
        <f>VLOOKUP(A26,IC_raw!$C$2:$E$111,3,FALSE)</f>
        <v>#N/A</v>
      </c>
      <c r="L26" t="e">
        <f>VLOOKUP(A26,IC_raw!$C$2:$E$111,2,FALSE)</f>
        <v>#N/A</v>
      </c>
    </row>
    <row r="27" spans="1:13" x14ac:dyDescent="0.2">
      <c r="A27" t="s">
        <v>122</v>
      </c>
      <c r="B27" s="1">
        <f t="shared" si="1"/>
        <v>45928.96597222222</v>
      </c>
      <c r="C27" s="1">
        <f t="shared" si="2"/>
        <v>45929.21597222222</v>
      </c>
      <c r="D27">
        <v>19.77</v>
      </c>
      <c r="E27">
        <f t="shared" si="0"/>
        <v>2.17</v>
      </c>
      <c r="K27" t="e">
        <f>VLOOKUP(A27,IC_raw!$C$2:$E$111,3,FALSE)</f>
        <v>#N/A</v>
      </c>
      <c r="L27" t="e">
        <f>VLOOKUP(A27,IC_raw!$C$2:$E$111,2,FALSE)</f>
        <v>#N/A</v>
      </c>
    </row>
    <row r="28" spans="1:13" x14ac:dyDescent="0.2">
      <c r="A28" t="s">
        <v>123</v>
      </c>
      <c r="B28" s="1">
        <f t="shared" si="1"/>
        <v>45929.21597222222</v>
      </c>
      <c r="C28" s="1">
        <f t="shared" si="2"/>
        <v>45929.46597222222</v>
      </c>
      <c r="D28">
        <v>19.89</v>
      </c>
      <c r="E28">
        <f t="shared" si="0"/>
        <v>2.19</v>
      </c>
      <c r="F28">
        <v>8.0500000000000007</v>
      </c>
      <c r="G28">
        <v>872</v>
      </c>
      <c r="H28">
        <v>13.2</v>
      </c>
      <c r="I28">
        <f>3/62*14</f>
        <v>0.67741935483870963</v>
      </c>
      <c r="K28">
        <f>VLOOKUP(A28,IC_raw!$C$2:$E$111,3,FALSE)</f>
        <v>1.29</v>
      </c>
      <c r="L28">
        <f>VLOOKUP(A28,IC_raw!$C$2:$E$111,2,FALSE)</f>
        <v>53.23</v>
      </c>
      <c r="M28" t="s">
        <v>186</v>
      </c>
    </row>
    <row r="29" spans="1:13" x14ac:dyDescent="0.2">
      <c r="A29" t="s">
        <v>124</v>
      </c>
      <c r="B29" s="1">
        <f t="shared" si="1"/>
        <v>45929.46597222222</v>
      </c>
      <c r="C29" s="1">
        <f t="shared" si="2"/>
        <v>45929.71597222222</v>
      </c>
      <c r="D29">
        <v>22.55</v>
      </c>
      <c r="E29">
        <f t="shared" si="0"/>
        <v>2.6333333333333333</v>
      </c>
      <c r="K29" t="e">
        <f>VLOOKUP(A29,IC_raw!$C$2:$E$111,3,FALSE)</f>
        <v>#N/A</v>
      </c>
      <c r="L29" t="e">
        <f>VLOOKUP(A29,IC_raw!$C$2:$E$111,2,FALSE)</f>
        <v>#N/A</v>
      </c>
    </row>
    <row r="30" spans="1:13" x14ac:dyDescent="0.2">
      <c r="A30" t="s">
        <v>125</v>
      </c>
      <c r="B30" s="1">
        <f t="shared" si="1"/>
        <v>45929.71597222222</v>
      </c>
      <c r="C30" s="1">
        <f t="shared" si="2"/>
        <v>45929.96597222222</v>
      </c>
      <c r="D30">
        <v>22.41</v>
      </c>
      <c r="E30">
        <f t="shared" si="0"/>
        <v>2.61</v>
      </c>
      <c r="K30" t="e">
        <f>VLOOKUP(A30,IC_raw!$C$2:$E$111,3,FALSE)</f>
        <v>#N/A</v>
      </c>
      <c r="L30" t="e">
        <f>VLOOKUP(A30,IC_raw!$C$2:$E$111,2,FALSE)</f>
        <v>#N/A</v>
      </c>
    </row>
    <row r="31" spans="1:13" x14ac:dyDescent="0.2">
      <c r="A31" t="s">
        <v>126</v>
      </c>
      <c r="B31" s="1">
        <f t="shared" si="1"/>
        <v>45929.96597222222</v>
      </c>
      <c r="C31" s="1">
        <f t="shared" si="2"/>
        <v>45930.21597222222</v>
      </c>
      <c r="D31">
        <v>22.18</v>
      </c>
      <c r="E31">
        <f t="shared" si="0"/>
        <v>2.5716666666666668</v>
      </c>
      <c r="K31" t="e">
        <f>VLOOKUP(A31,IC_raw!$C$2:$E$111,3,FALSE)</f>
        <v>#N/A</v>
      </c>
      <c r="L31" t="e">
        <f>VLOOKUP(A31,IC_raw!$C$2:$E$111,2,FALSE)</f>
        <v>#N/A</v>
      </c>
    </row>
    <row r="32" spans="1:13" x14ac:dyDescent="0.2">
      <c r="A32" t="s">
        <v>127</v>
      </c>
      <c r="B32" s="1">
        <f t="shared" si="1"/>
        <v>45930.21597222222</v>
      </c>
      <c r="C32" s="1">
        <f t="shared" si="2"/>
        <v>45930.46597222222</v>
      </c>
      <c r="D32">
        <v>21.67</v>
      </c>
      <c r="E32">
        <f t="shared" si="0"/>
        <v>2.4866666666666668</v>
      </c>
      <c r="K32" t="e">
        <f>VLOOKUP(A32,IC_raw!$C$2:$E$111,3,FALSE)</f>
        <v>#N/A</v>
      </c>
      <c r="L32" t="e">
        <f>VLOOKUP(A32,IC_raw!$C$2:$E$111,2,FALSE)</f>
        <v>#N/A</v>
      </c>
    </row>
    <row r="33" spans="1:13" x14ac:dyDescent="0.2">
      <c r="A33" t="s">
        <v>128</v>
      </c>
      <c r="B33" s="1">
        <f t="shared" si="1"/>
        <v>45930.46597222222</v>
      </c>
      <c r="C33" s="1">
        <f t="shared" si="2"/>
        <v>45930.71597222222</v>
      </c>
      <c r="K33" t="e">
        <f>VLOOKUP(A33,IC_raw!$C$2:$E$111,3,FALSE)</f>
        <v>#N/A</v>
      </c>
      <c r="L33" t="e">
        <f>VLOOKUP(A33,IC_raw!$C$2:$E$111,2,FALSE)</f>
        <v>#N/A</v>
      </c>
    </row>
    <row r="34" spans="1:13" x14ac:dyDescent="0.2">
      <c r="A34" t="s">
        <v>129</v>
      </c>
      <c r="B34" s="1">
        <f t="shared" si="1"/>
        <v>45930.71597222222</v>
      </c>
      <c r="C34" s="1">
        <f t="shared" si="2"/>
        <v>45930.96597222222</v>
      </c>
      <c r="D34">
        <v>19.86</v>
      </c>
      <c r="E34">
        <f>(D34-6.75)/6</f>
        <v>2.1850000000000001</v>
      </c>
      <c r="K34" t="e">
        <f>VLOOKUP(A34,IC_raw!$C$2:$E$111,3,FALSE)</f>
        <v>#N/A</v>
      </c>
      <c r="L34" t="e">
        <f>VLOOKUP(A34,IC_raw!$C$2:$E$111,2,FALSE)</f>
        <v>#N/A</v>
      </c>
    </row>
    <row r="35" spans="1:13" x14ac:dyDescent="0.2">
      <c r="A35" t="s">
        <v>130</v>
      </c>
      <c r="B35" s="1">
        <f t="shared" si="1"/>
        <v>45930.96597222222</v>
      </c>
      <c r="C35" s="1">
        <f t="shared" si="2"/>
        <v>45931.21597222222</v>
      </c>
      <c r="D35">
        <v>20.260000000000002</v>
      </c>
      <c r="E35">
        <f t="shared" si="0"/>
        <v>2.2516666666666669</v>
      </c>
      <c r="K35" t="e">
        <f>VLOOKUP(A35,IC_raw!$C$2:$E$111,3,FALSE)</f>
        <v>#N/A</v>
      </c>
      <c r="L35" t="e">
        <f>VLOOKUP(A35,IC_raw!$C$2:$E$111,2,FALSE)</f>
        <v>#N/A</v>
      </c>
    </row>
    <row r="36" spans="1:13" x14ac:dyDescent="0.2">
      <c r="A36" t="s">
        <v>131</v>
      </c>
      <c r="B36" s="1">
        <f t="shared" si="1"/>
        <v>45931.21597222222</v>
      </c>
      <c r="C36" s="1">
        <f t="shared" si="2"/>
        <v>45931.46597222222</v>
      </c>
      <c r="D36">
        <v>19.84</v>
      </c>
      <c r="E36">
        <f t="shared" si="0"/>
        <v>2.1816666666666666</v>
      </c>
      <c r="F36">
        <v>7.96</v>
      </c>
      <c r="G36">
        <v>831</v>
      </c>
      <c r="H36">
        <v>14.7</v>
      </c>
      <c r="I36">
        <f>3/62*14</f>
        <v>0.67741935483870963</v>
      </c>
      <c r="K36">
        <f>VLOOKUP(A36,IC_raw!$C$2:$E$111,3,FALSE)</f>
        <v>1.25</v>
      </c>
      <c r="L36">
        <f>VLOOKUP(A36,IC_raw!$C$2:$E$111,2,FALSE)</f>
        <v>67</v>
      </c>
    </row>
    <row r="37" spans="1:13" x14ac:dyDescent="0.2">
      <c r="A37" t="s">
        <v>239</v>
      </c>
      <c r="B37" s="1">
        <f t="shared" ref="B37:B55" si="3">C36</f>
        <v>45931.46597222222</v>
      </c>
      <c r="C37" s="1">
        <f t="shared" ref="C37:C55" si="4">B37+6/24</f>
        <v>45931.71597222222</v>
      </c>
      <c r="D37">
        <v>19.64</v>
      </c>
      <c r="E37">
        <f t="shared" si="0"/>
        <v>2.1483333333333334</v>
      </c>
      <c r="K37" t="e">
        <f>VLOOKUP(A37,IC_raw!$C$2:$E$111,3,FALSE)</f>
        <v>#N/A</v>
      </c>
      <c r="L37" t="e">
        <f>VLOOKUP(A37,IC_raw!$C$2:$E$111,2,FALSE)</f>
        <v>#N/A</v>
      </c>
    </row>
    <row r="38" spans="1:13" x14ac:dyDescent="0.2">
      <c r="A38" t="s">
        <v>240</v>
      </c>
      <c r="B38" s="1">
        <f t="shared" si="3"/>
        <v>45931.71597222222</v>
      </c>
      <c r="C38" s="1">
        <f t="shared" si="4"/>
        <v>45931.96597222222</v>
      </c>
      <c r="D38">
        <v>19.37</v>
      </c>
      <c r="E38">
        <f t="shared" si="0"/>
        <v>2.1033333333333335</v>
      </c>
      <c r="K38" t="e">
        <f>VLOOKUP(A38,IC_raw!$C$2:$E$111,3,FALSE)</f>
        <v>#N/A</v>
      </c>
      <c r="L38" t="e">
        <f>VLOOKUP(A38,IC_raw!$C$2:$E$111,2,FALSE)</f>
        <v>#N/A</v>
      </c>
    </row>
    <row r="39" spans="1:13" x14ac:dyDescent="0.2">
      <c r="A39" t="s">
        <v>241</v>
      </c>
      <c r="B39" s="1">
        <f t="shared" si="3"/>
        <v>45931.96597222222</v>
      </c>
      <c r="C39" s="1">
        <f t="shared" si="4"/>
        <v>45932.21597222222</v>
      </c>
      <c r="D39">
        <v>19.05</v>
      </c>
      <c r="E39">
        <f t="shared" si="0"/>
        <v>2.0500000000000003</v>
      </c>
      <c r="K39" t="e">
        <f>VLOOKUP(A39,IC_raw!$C$2:$E$111,3,FALSE)</f>
        <v>#N/A</v>
      </c>
      <c r="L39" t="e">
        <f>VLOOKUP(A39,IC_raw!$C$2:$E$111,2,FALSE)</f>
        <v>#N/A</v>
      </c>
    </row>
    <row r="40" spans="1:13" x14ac:dyDescent="0.2">
      <c r="A40" t="s">
        <v>242</v>
      </c>
      <c r="B40" s="1">
        <f t="shared" si="3"/>
        <v>45932.21597222222</v>
      </c>
      <c r="C40" s="1">
        <f t="shared" si="4"/>
        <v>45932.46597222222</v>
      </c>
      <c r="D40">
        <v>19.28</v>
      </c>
      <c r="E40">
        <f t="shared" si="0"/>
        <v>2.0883333333333334</v>
      </c>
      <c r="F40">
        <v>8.06</v>
      </c>
      <c r="G40">
        <v>876</v>
      </c>
      <c r="H40">
        <v>14.4</v>
      </c>
      <c r="I40">
        <f>3/62*14</f>
        <v>0.67741935483870963</v>
      </c>
      <c r="K40">
        <f>VLOOKUP(A40,IC_raw!$C$2:$E$111,3,FALSE)</f>
        <v>1.23</v>
      </c>
      <c r="L40">
        <f>VLOOKUP(A40,IC_raw!$C$2:$E$111,2,FALSE)</f>
        <v>60.19</v>
      </c>
    </row>
    <row r="41" spans="1:13" x14ac:dyDescent="0.2">
      <c r="A41" t="s">
        <v>243</v>
      </c>
      <c r="B41" s="1">
        <f t="shared" si="3"/>
        <v>45932.46597222222</v>
      </c>
      <c r="C41" s="1">
        <f t="shared" si="4"/>
        <v>45932.71597222222</v>
      </c>
      <c r="D41">
        <v>19.05</v>
      </c>
      <c r="E41">
        <f t="shared" si="0"/>
        <v>2.0500000000000003</v>
      </c>
      <c r="K41" t="e">
        <f>VLOOKUP(A41,IC_raw!$C$2:$E$111,3,FALSE)</f>
        <v>#N/A</v>
      </c>
      <c r="L41" t="e">
        <f>VLOOKUP(A41,IC_raw!$C$2:$E$111,2,FALSE)</f>
        <v>#N/A</v>
      </c>
    </row>
    <row r="42" spans="1:13" x14ac:dyDescent="0.2">
      <c r="A42" t="s">
        <v>244</v>
      </c>
      <c r="B42" s="1">
        <f t="shared" si="3"/>
        <v>45932.71597222222</v>
      </c>
      <c r="C42" s="1">
        <f t="shared" si="4"/>
        <v>45932.96597222222</v>
      </c>
      <c r="D42">
        <v>18.97</v>
      </c>
      <c r="E42">
        <f t="shared" si="0"/>
        <v>2.0366666666666666</v>
      </c>
      <c r="K42" t="e">
        <f>VLOOKUP(A42,IC_raw!$C$2:$E$111,3,FALSE)</f>
        <v>#N/A</v>
      </c>
      <c r="L42" t="e">
        <f>VLOOKUP(A42,IC_raw!$C$2:$E$111,2,FALSE)</f>
        <v>#N/A</v>
      </c>
    </row>
    <row r="43" spans="1:13" x14ac:dyDescent="0.2">
      <c r="A43" t="s">
        <v>245</v>
      </c>
      <c r="B43" s="1">
        <f t="shared" si="3"/>
        <v>45932.96597222222</v>
      </c>
      <c r="C43" s="1">
        <f t="shared" si="4"/>
        <v>45933.21597222222</v>
      </c>
      <c r="D43">
        <v>19.04</v>
      </c>
      <c r="E43">
        <f t="shared" si="0"/>
        <v>2.0483333333333333</v>
      </c>
      <c r="K43" t="e">
        <f>VLOOKUP(A43,IC_raw!$C$2:$E$111,3,FALSE)</f>
        <v>#N/A</v>
      </c>
      <c r="L43" t="e">
        <f>VLOOKUP(A43,IC_raw!$C$2:$E$111,2,FALSE)</f>
        <v>#N/A</v>
      </c>
    </row>
    <row r="44" spans="1:13" x14ac:dyDescent="0.2">
      <c r="A44" t="s">
        <v>246</v>
      </c>
      <c r="B44" s="1">
        <f t="shared" si="3"/>
        <v>45933.21597222222</v>
      </c>
      <c r="C44" s="1">
        <f t="shared" si="4"/>
        <v>45933.46597222222</v>
      </c>
      <c r="D44">
        <v>18.97</v>
      </c>
      <c r="E44">
        <f t="shared" si="0"/>
        <v>2.0366666666666666</v>
      </c>
      <c r="H44">
        <v>16.5</v>
      </c>
      <c r="I44">
        <f>3/62*14</f>
        <v>0.67741935483870963</v>
      </c>
      <c r="K44">
        <f>VLOOKUP(A44,IC_raw!$C$2:$E$111,3,FALSE)</f>
        <v>1.22</v>
      </c>
      <c r="L44">
        <f>VLOOKUP(A44,IC_raw!$C$2:$E$111,2,FALSE)</f>
        <v>71.27</v>
      </c>
    </row>
    <row r="45" spans="1:13" x14ac:dyDescent="0.2">
      <c r="A45" t="s">
        <v>247</v>
      </c>
      <c r="B45" s="1">
        <f t="shared" si="3"/>
        <v>45933.46597222222</v>
      </c>
      <c r="C45" s="1">
        <f t="shared" si="4"/>
        <v>45933.71597222222</v>
      </c>
      <c r="D45">
        <v>19.02</v>
      </c>
      <c r="E45">
        <f t="shared" si="0"/>
        <v>2.0449999999999999</v>
      </c>
      <c r="K45" t="e">
        <f>VLOOKUP(A45,IC_raw!$C$2:$E$111,3,FALSE)</f>
        <v>#N/A</v>
      </c>
      <c r="L45" t="e">
        <f>VLOOKUP(A45,IC_raw!$C$2:$E$111,2,FALSE)</f>
        <v>#N/A</v>
      </c>
    </row>
    <row r="46" spans="1:13" x14ac:dyDescent="0.2">
      <c r="A46" t="s">
        <v>248</v>
      </c>
      <c r="B46" s="1">
        <f t="shared" si="3"/>
        <v>45933.71597222222</v>
      </c>
      <c r="C46" s="1">
        <f t="shared" si="4"/>
        <v>45933.96597222222</v>
      </c>
      <c r="K46" t="e">
        <f>VLOOKUP(A46,IC_raw!$C$2:$E$111,3,FALSE)</f>
        <v>#N/A</v>
      </c>
      <c r="L46" t="e">
        <f>VLOOKUP(A46,IC_raw!$C$2:$E$111,2,FALSE)</f>
        <v>#N/A</v>
      </c>
      <c r="M46" t="s">
        <v>288</v>
      </c>
    </row>
    <row r="47" spans="1:13" x14ac:dyDescent="0.2">
      <c r="A47" t="s">
        <v>249</v>
      </c>
      <c r="B47" s="1">
        <f t="shared" si="3"/>
        <v>45933.96597222222</v>
      </c>
      <c r="C47" s="1">
        <f t="shared" si="4"/>
        <v>45934.21597222222</v>
      </c>
      <c r="D47">
        <v>18.899999999999999</v>
      </c>
      <c r="E47">
        <f t="shared" si="0"/>
        <v>2.0249999999999999</v>
      </c>
      <c r="K47" t="e">
        <f>VLOOKUP(A47,IC_raw!$C$2:$E$111,3,FALSE)</f>
        <v>#N/A</v>
      </c>
      <c r="L47" t="e">
        <f>VLOOKUP(A47,IC_raw!$C$2:$E$111,2,FALSE)</f>
        <v>#N/A</v>
      </c>
    </row>
    <row r="48" spans="1:13" x14ac:dyDescent="0.2">
      <c r="A48" t="s">
        <v>250</v>
      </c>
      <c r="B48" s="1">
        <f t="shared" si="3"/>
        <v>45934.21597222222</v>
      </c>
      <c r="C48" s="1">
        <f t="shared" si="4"/>
        <v>45934.46597222222</v>
      </c>
      <c r="D48">
        <v>18.98</v>
      </c>
      <c r="E48">
        <f t="shared" si="0"/>
        <v>2.0383333333333336</v>
      </c>
      <c r="F48">
        <v>8.35</v>
      </c>
      <c r="G48">
        <v>862</v>
      </c>
      <c r="H48">
        <v>16.399999999999999</v>
      </c>
      <c r="I48">
        <f>3/62*14</f>
        <v>0.67741935483870963</v>
      </c>
      <c r="K48">
        <f>VLOOKUP(A48,IC_raw!$C$2:$E$111,3,FALSE)</f>
        <v>1.41</v>
      </c>
      <c r="L48">
        <f>VLOOKUP(A48,IC_raw!$C$2:$E$111,2,FALSE)</f>
        <v>70.75</v>
      </c>
    </row>
    <row r="49" spans="1:12" x14ac:dyDescent="0.2">
      <c r="A49" t="s">
        <v>251</v>
      </c>
      <c r="B49" s="1">
        <f t="shared" si="3"/>
        <v>45934.46597222222</v>
      </c>
      <c r="C49" s="1">
        <f t="shared" si="4"/>
        <v>45934.71597222222</v>
      </c>
      <c r="D49">
        <v>18.46</v>
      </c>
      <c r="E49">
        <f t="shared" si="0"/>
        <v>1.9516666666666669</v>
      </c>
      <c r="K49" t="e">
        <f>VLOOKUP(A49,IC_raw!$C$2:$E$111,3,FALSE)</f>
        <v>#N/A</v>
      </c>
      <c r="L49" t="e">
        <f>VLOOKUP(A49,IC_raw!$C$2:$E$111,2,FALSE)</f>
        <v>#N/A</v>
      </c>
    </row>
    <row r="50" spans="1:12" x14ac:dyDescent="0.2">
      <c r="A50" t="s">
        <v>252</v>
      </c>
      <c r="B50" s="1">
        <f t="shared" si="3"/>
        <v>45934.71597222222</v>
      </c>
      <c r="C50" s="1">
        <f t="shared" si="4"/>
        <v>45934.96597222222</v>
      </c>
      <c r="D50">
        <v>18.73</v>
      </c>
      <c r="E50">
        <f t="shared" si="0"/>
        <v>1.9966666666666668</v>
      </c>
      <c r="K50" t="e">
        <f>VLOOKUP(A50,IC_raw!$C$2:$E$111,3,FALSE)</f>
        <v>#N/A</v>
      </c>
      <c r="L50" t="e">
        <f>VLOOKUP(A50,IC_raw!$C$2:$E$111,2,FALSE)</f>
        <v>#N/A</v>
      </c>
    </row>
    <row r="51" spans="1:12" x14ac:dyDescent="0.2">
      <c r="A51" t="s">
        <v>253</v>
      </c>
      <c r="B51" s="1">
        <f t="shared" si="3"/>
        <v>45934.96597222222</v>
      </c>
      <c r="C51" s="1">
        <f t="shared" si="4"/>
        <v>45935.21597222222</v>
      </c>
      <c r="D51">
        <v>18.78</v>
      </c>
      <c r="E51">
        <f t="shared" si="0"/>
        <v>2.0050000000000003</v>
      </c>
      <c r="K51" t="e">
        <f>VLOOKUP(A51,IC_raw!$C$2:$E$111,3,FALSE)</f>
        <v>#N/A</v>
      </c>
      <c r="L51" t="e">
        <f>VLOOKUP(A51,IC_raw!$C$2:$E$111,2,FALSE)</f>
        <v>#N/A</v>
      </c>
    </row>
    <row r="52" spans="1:12" x14ac:dyDescent="0.2">
      <c r="A52" t="s">
        <v>254</v>
      </c>
      <c r="B52" s="1">
        <f t="shared" si="3"/>
        <v>45935.21597222222</v>
      </c>
      <c r="C52" s="1">
        <f t="shared" si="4"/>
        <v>45935.46597222222</v>
      </c>
      <c r="D52">
        <v>18.739999999999998</v>
      </c>
      <c r="E52">
        <f t="shared" si="0"/>
        <v>1.9983333333333331</v>
      </c>
      <c r="K52" t="e">
        <f>VLOOKUP(A52,IC_raw!$C$2:$E$111,3,FALSE)</f>
        <v>#N/A</v>
      </c>
      <c r="L52" t="e">
        <f>VLOOKUP(A52,IC_raw!$C$2:$E$111,2,FALSE)</f>
        <v>#N/A</v>
      </c>
    </row>
    <row r="53" spans="1:12" x14ac:dyDescent="0.2">
      <c r="A53" t="s">
        <v>255</v>
      </c>
      <c r="B53" s="1">
        <f t="shared" si="3"/>
        <v>45935.46597222222</v>
      </c>
      <c r="C53" s="1">
        <f t="shared" si="4"/>
        <v>45935.71597222222</v>
      </c>
      <c r="D53">
        <v>18.75</v>
      </c>
      <c r="E53">
        <f t="shared" si="0"/>
        <v>2</v>
      </c>
      <c r="K53" t="e">
        <f>VLOOKUP(A53,IC_raw!$C$2:$E$111,3,FALSE)</f>
        <v>#N/A</v>
      </c>
      <c r="L53" t="e">
        <f>VLOOKUP(A53,IC_raw!$C$2:$E$111,2,FALSE)</f>
        <v>#N/A</v>
      </c>
    </row>
    <row r="54" spans="1:12" x14ac:dyDescent="0.2">
      <c r="A54" t="s">
        <v>256</v>
      </c>
      <c r="B54" s="1">
        <f t="shared" si="3"/>
        <v>45935.71597222222</v>
      </c>
      <c r="C54" s="1">
        <f t="shared" si="4"/>
        <v>45935.96597222222</v>
      </c>
      <c r="D54">
        <v>18.760000000000002</v>
      </c>
      <c r="E54">
        <f t="shared" si="0"/>
        <v>2.0016666666666669</v>
      </c>
      <c r="K54" t="e">
        <f>VLOOKUP(A54,IC_raw!$C$2:$E$111,3,FALSE)</f>
        <v>#N/A</v>
      </c>
      <c r="L54" t="e">
        <f>VLOOKUP(A54,IC_raw!$C$2:$E$111,2,FALSE)</f>
        <v>#N/A</v>
      </c>
    </row>
    <row r="55" spans="1:12" x14ac:dyDescent="0.2">
      <c r="A55" t="s">
        <v>257</v>
      </c>
      <c r="B55" s="1">
        <f t="shared" si="3"/>
        <v>45935.96597222222</v>
      </c>
      <c r="C55" s="1">
        <f t="shared" si="4"/>
        <v>45936.21597222222</v>
      </c>
      <c r="D55">
        <v>18.809999999999999</v>
      </c>
      <c r="E55">
        <f t="shared" si="0"/>
        <v>2.0099999999999998</v>
      </c>
      <c r="K55" t="e">
        <f>VLOOKUP(A55,IC_raw!$C$2:$E$111,3,FALSE)</f>
        <v>#N/A</v>
      </c>
      <c r="L55" t="e">
        <f>VLOOKUP(A55,IC_raw!$C$2:$E$111,2,FALSE)</f>
        <v>#N/A</v>
      </c>
    </row>
    <row r="56" spans="1:12" x14ac:dyDescent="0.2">
      <c r="A56" t="s">
        <v>258</v>
      </c>
      <c r="B56" s="1">
        <f t="shared" ref="B56:B58" si="5">C55</f>
        <v>45936.21597222222</v>
      </c>
      <c r="C56" s="1">
        <f t="shared" ref="C56:C58" si="6">B56+6/24</f>
        <v>45936.46597222222</v>
      </c>
      <c r="D56">
        <v>18.77</v>
      </c>
      <c r="E56">
        <f t="shared" si="0"/>
        <v>2.0033333333333334</v>
      </c>
      <c r="F56">
        <v>8.15</v>
      </c>
      <c r="G56">
        <v>811</v>
      </c>
      <c r="H56">
        <v>15.2</v>
      </c>
      <c r="I56">
        <f>3/62*14</f>
        <v>0.67741935483870963</v>
      </c>
      <c r="K56">
        <f>VLOOKUP(A56,IC_raw!$C$2:$E$111,3,FALSE)</f>
        <v>1.37</v>
      </c>
      <c r="L56">
        <f>VLOOKUP(A56,IC_raw!$C$2:$E$111,2,FALSE)</f>
        <v>67.06</v>
      </c>
    </row>
    <row r="57" spans="1:12" x14ac:dyDescent="0.2">
      <c r="A57" t="s">
        <v>336</v>
      </c>
      <c r="B57" s="1">
        <f t="shared" si="5"/>
        <v>45936.46597222222</v>
      </c>
      <c r="C57" s="1">
        <f t="shared" si="6"/>
        <v>45936.71597222222</v>
      </c>
      <c r="K57" t="e">
        <f>VLOOKUP(A57,IC_raw!$C$2:$E$111,3,FALSE)</f>
        <v>#N/A</v>
      </c>
      <c r="L57" t="e">
        <f>VLOOKUP(A57,IC_raw!$C$2:$E$111,2,FALSE)</f>
        <v>#N/A</v>
      </c>
    </row>
    <row r="58" spans="1:12" x14ac:dyDescent="0.2">
      <c r="A58" t="s">
        <v>337</v>
      </c>
      <c r="B58" s="1">
        <f t="shared" si="5"/>
        <v>45936.71597222222</v>
      </c>
      <c r="C58" s="1">
        <f t="shared" si="6"/>
        <v>45936.96597222222</v>
      </c>
      <c r="D58">
        <v>18.86</v>
      </c>
      <c r="E58">
        <f t="shared" si="0"/>
        <v>2.0183333333333331</v>
      </c>
      <c r="H58">
        <v>15.4</v>
      </c>
      <c r="I58">
        <f t="shared" ref="I58:I61" si="7">3/62*14</f>
        <v>0.67741935483870963</v>
      </c>
      <c r="K58">
        <f>VLOOKUP(A58,IC_raw!$C$2:$E$111,3,FALSE)</f>
        <v>1.1599999999999999</v>
      </c>
      <c r="L58">
        <f>VLOOKUP(A58,IC_raw!$C$2:$E$111,2,FALSE)</f>
        <v>66.92</v>
      </c>
    </row>
    <row r="59" spans="1:12" x14ac:dyDescent="0.2">
      <c r="A59" t="s">
        <v>338</v>
      </c>
      <c r="B59" s="1">
        <f t="shared" ref="B59:B80" si="8">C58</f>
        <v>45936.96597222222</v>
      </c>
      <c r="C59" s="1">
        <f t="shared" ref="C59:C80" si="9">B59+6/24</f>
        <v>45937.21597222222</v>
      </c>
      <c r="D59">
        <v>18.399999999999999</v>
      </c>
      <c r="E59">
        <f t="shared" si="0"/>
        <v>1.9416666666666664</v>
      </c>
      <c r="H59">
        <v>11.9</v>
      </c>
      <c r="I59">
        <f t="shared" si="7"/>
        <v>0.67741935483870963</v>
      </c>
      <c r="K59">
        <f>VLOOKUP(A59,IC_raw!$C$2:$E$111,3,FALSE)</f>
        <v>1.1000000000000001</v>
      </c>
      <c r="L59">
        <f>VLOOKUP(A59,IC_raw!$C$2:$E$111,2,FALSE)</f>
        <v>53.04</v>
      </c>
    </row>
    <row r="60" spans="1:12" x14ac:dyDescent="0.2">
      <c r="A60" t="s">
        <v>339</v>
      </c>
      <c r="B60" s="1">
        <f t="shared" si="8"/>
        <v>45937.21597222222</v>
      </c>
      <c r="C60" s="1">
        <f t="shared" si="9"/>
        <v>45937.46597222222</v>
      </c>
      <c r="D60">
        <v>18.68</v>
      </c>
      <c r="E60">
        <f t="shared" si="0"/>
        <v>1.9883333333333333</v>
      </c>
      <c r="H60">
        <v>8.44</v>
      </c>
      <c r="I60">
        <f t="shared" si="7"/>
        <v>0.67741935483870963</v>
      </c>
      <c r="K60">
        <f>VLOOKUP(A60,IC_raw!$C$2:$E$111,3,FALSE)</f>
        <v>1.17</v>
      </c>
      <c r="L60">
        <f>VLOOKUP(A60,IC_raw!$C$2:$E$111,2,FALSE)</f>
        <v>38.04</v>
      </c>
    </row>
    <row r="61" spans="1:12" x14ac:dyDescent="0.2">
      <c r="A61" t="s">
        <v>340</v>
      </c>
      <c r="B61" s="1">
        <f t="shared" si="8"/>
        <v>45937.46597222222</v>
      </c>
      <c r="C61" s="1">
        <f t="shared" si="9"/>
        <v>45937.71597222222</v>
      </c>
      <c r="D61">
        <v>18.690000000000001</v>
      </c>
      <c r="E61">
        <f t="shared" si="0"/>
        <v>1.9900000000000002</v>
      </c>
      <c r="H61">
        <v>7.86</v>
      </c>
      <c r="I61">
        <f t="shared" si="7"/>
        <v>0.67741935483870963</v>
      </c>
      <c r="K61">
        <f>VLOOKUP(A61,IC_raw!$C$2:$E$111,3,FALSE)</f>
        <v>1.18</v>
      </c>
      <c r="L61">
        <f>VLOOKUP(A61,IC_raw!$C$2:$E$111,2,FALSE)</f>
        <v>35.07</v>
      </c>
    </row>
    <row r="62" spans="1:12" x14ac:dyDescent="0.2">
      <c r="A62" t="s">
        <v>341</v>
      </c>
      <c r="B62" s="1">
        <f t="shared" si="8"/>
        <v>45937.71597222222</v>
      </c>
      <c r="C62" s="1">
        <f t="shared" si="9"/>
        <v>45937.96597222222</v>
      </c>
      <c r="D62">
        <v>18.600000000000001</v>
      </c>
      <c r="E62">
        <f t="shared" si="0"/>
        <v>1.9750000000000003</v>
      </c>
      <c r="K62" t="e">
        <f>VLOOKUP(A62,IC_raw!$C$2:$E$111,3,FALSE)</f>
        <v>#N/A</v>
      </c>
      <c r="L62" t="e">
        <f>VLOOKUP(A62,IC_raw!$C$2:$E$111,2,FALSE)</f>
        <v>#N/A</v>
      </c>
    </row>
    <row r="63" spans="1:12" x14ac:dyDescent="0.2">
      <c r="A63" t="s">
        <v>342</v>
      </c>
      <c r="B63" s="1">
        <f t="shared" si="8"/>
        <v>45937.96597222222</v>
      </c>
      <c r="C63" s="1">
        <f t="shared" si="9"/>
        <v>45938.21597222222</v>
      </c>
      <c r="D63">
        <v>18.670000000000002</v>
      </c>
      <c r="E63">
        <f t="shared" si="0"/>
        <v>1.986666666666667</v>
      </c>
      <c r="K63" t="e">
        <f>VLOOKUP(A63,IC_raw!$C$2:$E$111,3,FALSE)</f>
        <v>#N/A</v>
      </c>
      <c r="L63" t="e">
        <f>VLOOKUP(A63,IC_raw!$C$2:$E$111,2,FALSE)</f>
        <v>#N/A</v>
      </c>
    </row>
    <row r="64" spans="1:12" x14ac:dyDescent="0.2">
      <c r="A64" t="s">
        <v>343</v>
      </c>
      <c r="B64" s="1">
        <f t="shared" si="8"/>
        <v>45938.21597222222</v>
      </c>
      <c r="C64" s="1">
        <f t="shared" si="9"/>
        <v>45938.46597222222</v>
      </c>
      <c r="D64">
        <v>18.78</v>
      </c>
      <c r="E64">
        <f t="shared" si="0"/>
        <v>2.0050000000000003</v>
      </c>
      <c r="F64">
        <v>8.1199999999999992</v>
      </c>
      <c r="G64">
        <v>749</v>
      </c>
      <c r="H64">
        <v>7.62</v>
      </c>
      <c r="I64">
        <f>3/62*14</f>
        <v>0.67741935483870963</v>
      </c>
      <c r="K64">
        <f>VLOOKUP(A64,IC_raw!$C$2:$E$111,3,FALSE)</f>
        <v>1.1200000000000001</v>
      </c>
      <c r="L64">
        <f>VLOOKUP(A64,IC_raw!$C$2:$E$111,2,FALSE)</f>
        <v>34.18</v>
      </c>
    </row>
    <row r="65" spans="1:12" x14ac:dyDescent="0.2">
      <c r="A65" t="s">
        <v>344</v>
      </c>
      <c r="B65" s="1">
        <f t="shared" si="8"/>
        <v>45938.46597222222</v>
      </c>
      <c r="C65" s="1">
        <f t="shared" si="9"/>
        <v>45938.71597222222</v>
      </c>
      <c r="D65">
        <v>18.88</v>
      </c>
      <c r="E65">
        <f t="shared" si="0"/>
        <v>2.0216666666666665</v>
      </c>
      <c r="K65" t="e">
        <f>VLOOKUP(A65,IC_raw!$C$2:$E$111,3,FALSE)</f>
        <v>#N/A</v>
      </c>
      <c r="L65" t="e">
        <f>VLOOKUP(A65,IC_raw!$C$2:$E$111,2,FALSE)</f>
        <v>#N/A</v>
      </c>
    </row>
    <row r="66" spans="1:12" x14ac:dyDescent="0.2">
      <c r="A66" t="s">
        <v>345</v>
      </c>
      <c r="B66" s="1">
        <f t="shared" si="8"/>
        <v>45938.71597222222</v>
      </c>
      <c r="C66" s="1">
        <f t="shared" si="9"/>
        <v>45938.96597222222</v>
      </c>
      <c r="D66">
        <v>18.98</v>
      </c>
      <c r="E66">
        <f t="shared" si="0"/>
        <v>2.0383333333333336</v>
      </c>
      <c r="K66" t="e">
        <f>VLOOKUP(A66,IC_raw!$C$2:$E$111,3,FALSE)</f>
        <v>#N/A</v>
      </c>
      <c r="L66" t="e">
        <f>VLOOKUP(A66,IC_raw!$C$2:$E$111,2,FALSE)</f>
        <v>#N/A</v>
      </c>
    </row>
    <row r="67" spans="1:12" x14ac:dyDescent="0.2">
      <c r="A67" t="s">
        <v>346</v>
      </c>
      <c r="B67" s="1">
        <f t="shared" si="8"/>
        <v>45938.96597222222</v>
      </c>
      <c r="C67" s="1">
        <f t="shared" si="9"/>
        <v>45939.21597222222</v>
      </c>
      <c r="D67">
        <v>19</v>
      </c>
      <c r="E67">
        <f t="shared" si="0"/>
        <v>2.0416666666666665</v>
      </c>
      <c r="K67" t="e">
        <f>VLOOKUP(A67,IC_raw!$C$2:$E$111,3,FALSE)</f>
        <v>#N/A</v>
      </c>
      <c r="L67" t="e">
        <f>VLOOKUP(A67,IC_raw!$C$2:$E$111,2,FALSE)</f>
        <v>#N/A</v>
      </c>
    </row>
    <row r="68" spans="1:12" x14ac:dyDescent="0.2">
      <c r="A68" t="s">
        <v>347</v>
      </c>
      <c r="B68" s="1">
        <f t="shared" si="8"/>
        <v>45939.21597222222</v>
      </c>
      <c r="C68" s="1">
        <f t="shared" si="9"/>
        <v>45939.46597222222</v>
      </c>
      <c r="D68">
        <v>18.98</v>
      </c>
      <c r="E68">
        <f t="shared" si="0"/>
        <v>2.0383333333333336</v>
      </c>
      <c r="F68">
        <v>8.1999999999999993</v>
      </c>
      <c r="G68">
        <v>744</v>
      </c>
      <c r="H68">
        <v>8.14</v>
      </c>
      <c r="I68">
        <f>3/62*14</f>
        <v>0.67741935483870963</v>
      </c>
      <c r="K68">
        <f>VLOOKUP(A68,IC_raw!$C$2:$E$111,3,FALSE)</f>
        <v>1.1000000000000001</v>
      </c>
      <c r="L68">
        <f>VLOOKUP(A68,IC_raw!$C$2:$E$111,2,FALSE)</f>
        <v>36.92</v>
      </c>
    </row>
    <row r="69" spans="1:12" x14ac:dyDescent="0.2">
      <c r="A69" t="s">
        <v>348</v>
      </c>
      <c r="B69" s="1">
        <f t="shared" si="8"/>
        <v>45939.46597222222</v>
      </c>
      <c r="C69" s="1">
        <f t="shared" si="9"/>
        <v>45939.71597222222</v>
      </c>
      <c r="D69">
        <v>18.649999999999999</v>
      </c>
      <c r="E69">
        <f t="shared" si="0"/>
        <v>1.9833333333333332</v>
      </c>
      <c r="K69" t="e">
        <f>VLOOKUP(A69,IC_raw!$C$2:$E$111,3,FALSE)</f>
        <v>#N/A</v>
      </c>
      <c r="L69" t="e">
        <f>VLOOKUP(A69,IC_raw!$C$2:$E$111,2,FALSE)</f>
        <v>#N/A</v>
      </c>
    </row>
    <row r="70" spans="1:12" x14ac:dyDescent="0.2">
      <c r="A70" t="s">
        <v>349</v>
      </c>
      <c r="B70" s="1">
        <f t="shared" si="8"/>
        <v>45939.71597222222</v>
      </c>
      <c r="C70" s="1">
        <f t="shared" si="9"/>
        <v>45939.96597222222</v>
      </c>
      <c r="D70">
        <v>19.13</v>
      </c>
      <c r="E70">
        <f t="shared" si="0"/>
        <v>2.063333333333333</v>
      </c>
      <c r="K70" t="e">
        <f>VLOOKUP(A70,IC_raw!$C$2:$E$111,3,FALSE)</f>
        <v>#N/A</v>
      </c>
      <c r="L70" t="e">
        <f>VLOOKUP(A70,IC_raw!$C$2:$E$111,2,FALSE)</f>
        <v>#N/A</v>
      </c>
    </row>
    <row r="71" spans="1:12" x14ac:dyDescent="0.2">
      <c r="A71" t="s">
        <v>350</v>
      </c>
      <c r="B71" s="1">
        <f t="shared" si="8"/>
        <v>45939.96597222222</v>
      </c>
      <c r="C71" s="1">
        <f t="shared" si="9"/>
        <v>45940.21597222222</v>
      </c>
      <c r="D71">
        <v>18.899999999999999</v>
      </c>
      <c r="E71">
        <f t="shared" si="0"/>
        <v>2.0249999999999999</v>
      </c>
      <c r="H71">
        <v>7.87</v>
      </c>
      <c r="I71">
        <f>3/62*14</f>
        <v>0.67741935483870963</v>
      </c>
      <c r="K71">
        <f>VLOOKUP(A71,IC_raw!$C$2:$E$111,3,FALSE)</f>
        <v>1.0900000000000001</v>
      </c>
      <c r="L71">
        <f>VLOOKUP(A71,IC_raw!$C$2:$E$111,2,FALSE)</f>
        <v>36.79</v>
      </c>
    </row>
    <row r="72" spans="1:12" x14ac:dyDescent="0.2">
      <c r="A72" t="s">
        <v>351</v>
      </c>
      <c r="B72" s="1">
        <f t="shared" si="8"/>
        <v>45940.21597222222</v>
      </c>
      <c r="C72" s="1">
        <f t="shared" si="9"/>
        <v>45940.46597222222</v>
      </c>
      <c r="D72">
        <v>18.95</v>
      </c>
      <c r="E72">
        <f t="shared" si="0"/>
        <v>2.0333333333333332</v>
      </c>
      <c r="K72" t="e">
        <f>VLOOKUP(A72,IC_raw!$C$2:$E$111,3,FALSE)</f>
        <v>#N/A</v>
      </c>
      <c r="L72" t="e">
        <f>VLOOKUP(A72,IC_raw!$C$2:$E$111,2,FALSE)</f>
        <v>#N/A</v>
      </c>
    </row>
    <row r="73" spans="1:12" x14ac:dyDescent="0.2">
      <c r="A73" t="s">
        <v>352</v>
      </c>
      <c r="B73" s="1">
        <f t="shared" si="8"/>
        <v>45940.46597222222</v>
      </c>
      <c r="C73" s="1">
        <f t="shared" si="9"/>
        <v>45940.71597222222</v>
      </c>
      <c r="D73">
        <v>18.649999999999999</v>
      </c>
      <c r="E73">
        <f t="shared" si="0"/>
        <v>1.9833333333333332</v>
      </c>
      <c r="K73" t="e">
        <f>VLOOKUP(A73,IC_raw!$C$2:$E$111,3,FALSE)</f>
        <v>#N/A</v>
      </c>
      <c r="L73" t="e">
        <f>VLOOKUP(A73,IC_raw!$C$2:$E$111,2,FALSE)</f>
        <v>#N/A</v>
      </c>
    </row>
    <row r="74" spans="1:12" x14ac:dyDescent="0.2">
      <c r="A74" t="s">
        <v>353</v>
      </c>
      <c r="B74" s="1">
        <f t="shared" si="8"/>
        <v>45940.71597222222</v>
      </c>
      <c r="C74" s="1">
        <f t="shared" si="9"/>
        <v>45940.96597222222</v>
      </c>
      <c r="D74">
        <v>18.73</v>
      </c>
      <c r="E74">
        <f t="shared" si="0"/>
        <v>1.9966666666666668</v>
      </c>
      <c r="K74" t="e">
        <f>VLOOKUP(A74,IC_raw!$C$2:$E$111,3,FALSE)</f>
        <v>#N/A</v>
      </c>
      <c r="L74" t="e">
        <f>VLOOKUP(A74,IC_raw!$C$2:$E$111,2,FALSE)</f>
        <v>#N/A</v>
      </c>
    </row>
    <row r="75" spans="1:12" x14ac:dyDescent="0.2">
      <c r="A75" t="s">
        <v>354</v>
      </c>
      <c r="B75" s="1">
        <f t="shared" si="8"/>
        <v>45940.96597222222</v>
      </c>
      <c r="C75" s="1">
        <f t="shared" si="9"/>
        <v>45941.21597222222</v>
      </c>
      <c r="D75">
        <v>17.71</v>
      </c>
      <c r="E75">
        <f t="shared" si="0"/>
        <v>1.8266666666666669</v>
      </c>
      <c r="K75" t="e">
        <f>VLOOKUP(A75,IC_raw!$C$2:$E$111,3,FALSE)</f>
        <v>#N/A</v>
      </c>
      <c r="L75" t="e">
        <f>VLOOKUP(A75,IC_raw!$C$2:$E$111,2,FALSE)</f>
        <v>#N/A</v>
      </c>
    </row>
    <row r="76" spans="1:12" x14ac:dyDescent="0.2">
      <c r="A76" t="s">
        <v>355</v>
      </c>
      <c r="B76" s="1">
        <f t="shared" si="8"/>
        <v>45941.21597222222</v>
      </c>
      <c r="C76" s="1">
        <f t="shared" si="9"/>
        <v>45941.46597222222</v>
      </c>
      <c r="D76">
        <v>18.77</v>
      </c>
      <c r="E76">
        <f t="shared" si="0"/>
        <v>2.0033333333333334</v>
      </c>
      <c r="H76">
        <v>8.76</v>
      </c>
      <c r="I76">
        <f>3/62*14</f>
        <v>0.67741935483870963</v>
      </c>
      <c r="K76">
        <f>VLOOKUP(A76,IC_raw!$C$2:$E$111,3,FALSE)</f>
        <v>1.1299999999999999</v>
      </c>
      <c r="L76">
        <f>VLOOKUP(A76,IC_raw!$C$2:$E$111,2,FALSE)</f>
        <v>39.14</v>
      </c>
    </row>
    <row r="77" spans="1:12" x14ac:dyDescent="0.2">
      <c r="A77" t="s">
        <v>356</v>
      </c>
      <c r="B77" s="1">
        <f t="shared" si="8"/>
        <v>45941.46597222222</v>
      </c>
      <c r="C77" s="1">
        <f t="shared" si="9"/>
        <v>45941.71597222222</v>
      </c>
      <c r="D77">
        <v>18.920000000000002</v>
      </c>
      <c r="E77">
        <f t="shared" si="0"/>
        <v>2.0283333333333338</v>
      </c>
      <c r="K77" t="e">
        <f>VLOOKUP(A77,IC_raw!$C$2:$E$111,3,FALSE)</f>
        <v>#N/A</v>
      </c>
      <c r="L77" t="e">
        <f>VLOOKUP(A77,IC_raw!$C$2:$E$111,2,FALSE)</f>
        <v>#N/A</v>
      </c>
    </row>
    <row r="78" spans="1:12" x14ac:dyDescent="0.2">
      <c r="A78" t="s">
        <v>357</v>
      </c>
      <c r="B78" s="1">
        <f t="shared" si="8"/>
        <v>45941.71597222222</v>
      </c>
      <c r="C78" s="1">
        <f t="shared" si="9"/>
        <v>45941.96597222222</v>
      </c>
      <c r="D78">
        <v>18.68</v>
      </c>
      <c r="E78">
        <f t="shared" si="0"/>
        <v>1.9883333333333333</v>
      </c>
      <c r="K78" t="e">
        <f>VLOOKUP(A78,IC_raw!$C$2:$E$111,3,FALSE)</f>
        <v>#N/A</v>
      </c>
      <c r="L78" t="e">
        <f>VLOOKUP(A78,IC_raw!$C$2:$E$111,2,FALSE)</f>
        <v>#N/A</v>
      </c>
    </row>
    <row r="79" spans="1:12" x14ac:dyDescent="0.2">
      <c r="A79" t="s">
        <v>358</v>
      </c>
      <c r="B79" s="1">
        <f t="shared" si="8"/>
        <v>45941.96597222222</v>
      </c>
      <c r="C79" s="1">
        <f t="shared" si="9"/>
        <v>45942.21597222222</v>
      </c>
      <c r="D79">
        <v>18.77</v>
      </c>
      <c r="E79">
        <f t="shared" si="0"/>
        <v>2.0033333333333334</v>
      </c>
      <c r="K79" t="e">
        <f>VLOOKUP(A79,IC_raw!$C$2:$E$111,3,FALSE)</f>
        <v>#N/A</v>
      </c>
      <c r="L79" t="e">
        <f>VLOOKUP(A79,IC_raw!$C$2:$E$111,2,FALSE)</f>
        <v>#N/A</v>
      </c>
    </row>
    <row r="80" spans="1:12" x14ac:dyDescent="0.2">
      <c r="A80" t="s">
        <v>359</v>
      </c>
      <c r="B80" s="1">
        <f t="shared" si="8"/>
        <v>45942.21597222222</v>
      </c>
      <c r="C80" s="1">
        <f t="shared" si="9"/>
        <v>45942.46597222222</v>
      </c>
      <c r="D80">
        <v>18.559999999999999</v>
      </c>
      <c r="E80">
        <f t="shared" si="0"/>
        <v>1.968333333333333</v>
      </c>
      <c r="K80" t="e">
        <f>VLOOKUP(A80,IC_raw!$C$2:$E$111,3,FALSE)</f>
        <v>#N/A</v>
      </c>
      <c r="L80" t="e">
        <f>VLOOKUP(A80,IC_raw!$C$2:$E$111,2,FALSE)</f>
        <v>#N/A</v>
      </c>
    </row>
    <row r="81" spans="1:12" x14ac:dyDescent="0.2">
      <c r="A81" t="s">
        <v>450</v>
      </c>
      <c r="B81" s="1">
        <f t="shared" ref="B81:B82" si="10">C80</f>
        <v>45942.46597222222</v>
      </c>
      <c r="C81" s="1">
        <f t="shared" ref="C81:C82" si="11">B81+6/24</f>
        <v>45942.71597222222</v>
      </c>
      <c r="D81">
        <v>18.61</v>
      </c>
      <c r="E81">
        <f t="shared" si="0"/>
        <v>1.9766666666666666</v>
      </c>
      <c r="F81">
        <v>7.98</v>
      </c>
      <c r="G81">
        <v>729</v>
      </c>
      <c r="H81">
        <v>8.44</v>
      </c>
      <c r="I81">
        <f>3/62*14</f>
        <v>0.67741935483870963</v>
      </c>
      <c r="K81">
        <f>VLOOKUP(A81,IC_raw!$C$2:$E$111,3,FALSE)</f>
        <v>1.08</v>
      </c>
      <c r="L81">
        <f>VLOOKUP(A81,IC_raw!$C$2:$E$111,2,FALSE)</f>
        <v>38.42</v>
      </c>
    </row>
    <row r="82" spans="1:12" x14ac:dyDescent="0.2">
      <c r="A82" t="s">
        <v>451</v>
      </c>
      <c r="B82" s="1">
        <f t="shared" si="10"/>
        <v>45942.71597222222</v>
      </c>
      <c r="C82" s="1">
        <f t="shared" si="11"/>
        <v>45942.96597222222</v>
      </c>
      <c r="K82" t="e">
        <f>VLOOKUP(A82,IC_raw!$C$2:$E$111,3,FALSE)</f>
        <v>#N/A</v>
      </c>
      <c r="L82" t="e">
        <f>VLOOKUP(A82,IC_raw!$C$2:$E$111,2,FALSE)</f>
        <v>#N/A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E0A4-BA85-AC4B-952F-A9D4082FC119}">
  <dimension ref="A1:M82"/>
  <sheetViews>
    <sheetView workbookViewId="0">
      <selection activeCell="L1" sqref="L1"/>
    </sheetView>
  </sheetViews>
  <sheetFormatPr baseColWidth="10" defaultRowHeight="16" x14ac:dyDescent="0.2"/>
  <cols>
    <col min="2" max="3" width="13" bestFit="1" customWidth="1"/>
  </cols>
  <sheetData>
    <row r="1" spans="1:13" x14ac:dyDescent="0.2">
      <c r="A1" t="s">
        <v>0</v>
      </c>
      <c r="B1" t="s">
        <v>437</v>
      </c>
      <c r="C1" t="s">
        <v>438</v>
      </c>
      <c r="D1" t="s">
        <v>3</v>
      </c>
      <c r="E1" t="s">
        <v>4</v>
      </c>
      <c r="F1" t="s">
        <v>5</v>
      </c>
      <c r="G1" t="s">
        <v>6</v>
      </c>
      <c r="H1" t="s">
        <v>387</v>
      </c>
      <c r="I1" t="s">
        <v>468</v>
      </c>
      <c r="J1" t="s">
        <v>44</v>
      </c>
      <c r="K1" t="s">
        <v>45</v>
      </c>
      <c r="L1" t="s">
        <v>46</v>
      </c>
      <c r="M1" t="s">
        <v>159</v>
      </c>
    </row>
    <row r="2" spans="1:13" x14ac:dyDescent="0.2">
      <c r="A2" t="s">
        <v>17</v>
      </c>
      <c r="B2" s="1">
        <v>45922.71597222222</v>
      </c>
      <c r="C2" s="1">
        <f>B2+6/24</f>
        <v>45922.96597222222</v>
      </c>
      <c r="D2">
        <v>18.05</v>
      </c>
      <c r="E2">
        <f t="shared" ref="E2:E56" si="0">(D2-6.75)/6</f>
        <v>1.8833333333333335</v>
      </c>
      <c r="K2" t="e">
        <f>VLOOKUP(A2,IC_raw!$C$2:$E$111,3,FALSE)</f>
        <v>#N/A</v>
      </c>
      <c r="L2" t="e">
        <f>VLOOKUP(A2,IC_raw!$C$2:$E$111,2,FALSE)</f>
        <v>#N/A</v>
      </c>
    </row>
    <row r="3" spans="1:13" x14ac:dyDescent="0.2">
      <c r="A3" t="s">
        <v>18</v>
      </c>
      <c r="B3" s="1">
        <f>C2</f>
        <v>45922.96597222222</v>
      </c>
      <c r="C3" s="1">
        <f>B3+6/24</f>
        <v>45923.21597222222</v>
      </c>
      <c r="D3">
        <v>17.12</v>
      </c>
      <c r="E3">
        <f t="shared" si="0"/>
        <v>1.7283333333333335</v>
      </c>
      <c r="K3" t="e">
        <f>VLOOKUP(A3,IC_raw!$C$2:$E$111,3,FALSE)</f>
        <v>#N/A</v>
      </c>
      <c r="L3" t="e">
        <f>VLOOKUP(A3,IC_raw!$C$2:$E$111,2,FALSE)</f>
        <v>#N/A</v>
      </c>
    </row>
    <row r="4" spans="1:13" x14ac:dyDescent="0.2">
      <c r="A4" t="s">
        <v>19</v>
      </c>
      <c r="B4" s="1">
        <f t="shared" ref="B4:B36" si="1">C3</f>
        <v>45923.21597222222</v>
      </c>
      <c r="C4" s="1">
        <f t="shared" ref="C4:C36" si="2">B4+6/24</f>
        <v>45923.46597222222</v>
      </c>
      <c r="D4">
        <v>19.850000000000001</v>
      </c>
      <c r="E4">
        <f t="shared" si="0"/>
        <v>2.1833333333333336</v>
      </c>
      <c r="F4">
        <v>8.1</v>
      </c>
      <c r="G4">
        <v>473</v>
      </c>
      <c r="H4">
        <v>7.4999999999999997E-2</v>
      </c>
      <c r="I4">
        <f>0.5/62*14</f>
        <v>0.11290322580645161</v>
      </c>
      <c r="K4">
        <f>VLOOKUP(A4,IC_raw!$C$2:$E$111,3,FALSE)</f>
        <v>1.81</v>
      </c>
      <c r="L4">
        <f>VLOOKUP(A4,IC_raw!$C$2:$E$111,2,FALSE)</f>
        <v>1.0900000000000001</v>
      </c>
    </row>
    <row r="5" spans="1:13" x14ac:dyDescent="0.2">
      <c r="A5" t="s">
        <v>39</v>
      </c>
      <c r="B5" s="1">
        <f t="shared" si="1"/>
        <v>45923.46597222222</v>
      </c>
      <c r="C5" s="1">
        <f t="shared" si="2"/>
        <v>45923.71597222222</v>
      </c>
      <c r="D5">
        <v>20.21</v>
      </c>
      <c r="E5">
        <f t="shared" si="0"/>
        <v>2.2433333333333336</v>
      </c>
      <c r="K5" t="e">
        <f>VLOOKUP(A5,IC_raw!$C$2:$E$111,3,FALSE)</f>
        <v>#N/A</v>
      </c>
      <c r="L5" t="e">
        <f>VLOOKUP(A5,IC_raw!$C$2:$E$111,2,FALSE)</f>
        <v>#N/A</v>
      </c>
    </row>
    <row r="6" spans="1:13" x14ac:dyDescent="0.2">
      <c r="A6" t="s">
        <v>40</v>
      </c>
      <c r="B6" s="1">
        <f t="shared" si="1"/>
        <v>45923.71597222222</v>
      </c>
      <c r="C6" s="1">
        <f t="shared" si="2"/>
        <v>45923.96597222222</v>
      </c>
      <c r="D6">
        <v>20.74</v>
      </c>
      <c r="E6">
        <f t="shared" si="0"/>
        <v>2.3316666666666666</v>
      </c>
      <c r="K6" t="e">
        <f>VLOOKUP(A6,IC_raw!$C$2:$E$111,3,FALSE)</f>
        <v>#N/A</v>
      </c>
      <c r="L6" t="e">
        <f>VLOOKUP(A6,IC_raw!$C$2:$E$111,2,FALSE)</f>
        <v>#N/A</v>
      </c>
    </row>
    <row r="7" spans="1:13" x14ac:dyDescent="0.2">
      <c r="A7" t="s">
        <v>41</v>
      </c>
      <c r="B7" s="1">
        <f t="shared" si="1"/>
        <v>45923.96597222222</v>
      </c>
      <c r="C7" s="1">
        <f t="shared" si="2"/>
        <v>45924.21597222222</v>
      </c>
      <c r="D7">
        <v>20.36</v>
      </c>
      <c r="E7">
        <f t="shared" si="0"/>
        <v>2.2683333333333331</v>
      </c>
      <c r="K7" t="e">
        <f>VLOOKUP(A7,IC_raw!$C$2:$E$111,3,FALSE)</f>
        <v>#N/A</v>
      </c>
      <c r="L7" t="e">
        <f>VLOOKUP(A7,IC_raw!$C$2:$E$111,2,FALSE)</f>
        <v>#N/A</v>
      </c>
    </row>
    <row r="8" spans="1:13" x14ac:dyDescent="0.2">
      <c r="A8" t="s">
        <v>42</v>
      </c>
      <c r="B8" s="1">
        <f t="shared" si="1"/>
        <v>45924.21597222222</v>
      </c>
      <c r="C8" s="1">
        <f t="shared" si="2"/>
        <v>45924.46597222222</v>
      </c>
      <c r="D8">
        <v>21.01</v>
      </c>
      <c r="E8">
        <f t="shared" si="0"/>
        <v>2.3766666666666669</v>
      </c>
      <c r="K8" t="e">
        <f>VLOOKUP(A8,IC_raw!$C$2:$E$111,3,FALSE)</f>
        <v>#N/A</v>
      </c>
      <c r="L8" t="e">
        <f>VLOOKUP(A8,IC_raw!$C$2:$E$111,2,FALSE)</f>
        <v>#N/A</v>
      </c>
    </row>
    <row r="9" spans="1:13" x14ac:dyDescent="0.2">
      <c r="A9" t="s">
        <v>43</v>
      </c>
      <c r="B9" s="1">
        <f t="shared" si="1"/>
        <v>45924.46597222222</v>
      </c>
      <c r="C9" s="1">
        <f t="shared" si="2"/>
        <v>45924.71597222222</v>
      </c>
      <c r="F9">
        <v>7.98</v>
      </c>
      <c r="G9">
        <v>484</v>
      </c>
      <c r="H9">
        <v>0.04</v>
      </c>
      <c r="I9">
        <f>0.5/62*14</f>
        <v>0.11290322580645161</v>
      </c>
      <c r="K9">
        <f>VLOOKUP(A9,IC_raw!$C$2:$E$111,3,FALSE)</f>
        <v>1.54</v>
      </c>
      <c r="L9">
        <f>VLOOKUP(A9,IC_raw!$C$2:$E$111,2,FALSE)</f>
        <v>1.02</v>
      </c>
    </row>
    <row r="10" spans="1:13" x14ac:dyDescent="0.2">
      <c r="A10" t="s">
        <v>132</v>
      </c>
      <c r="B10" s="1">
        <f t="shared" si="1"/>
        <v>45924.71597222222</v>
      </c>
      <c r="C10" s="1">
        <f t="shared" si="2"/>
        <v>45924.96597222222</v>
      </c>
      <c r="D10">
        <v>21.15</v>
      </c>
      <c r="E10">
        <f t="shared" si="0"/>
        <v>2.4</v>
      </c>
      <c r="K10" t="e">
        <f>VLOOKUP(A10,IC_raw!$C$2:$E$111,3,FALSE)</f>
        <v>#N/A</v>
      </c>
      <c r="L10" t="e">
        <f>VLOOKUP(A10,IC_raw!$C$2:$E$111,2,FALSE)</f>
        <v>#N/A</v>
      </c>
    </row>
    <row r="11" spans="1:13" x14ac:dyDescent="0.2">
      <c r="A11" t="s">
        <v>133</v>
      </c>
      <c r="B11" s="1">
        <f t="shared" si="1"/>
        <v>45924.96597222222</v>
      </c>
      <c r="C11" s="1">
        <f t="shared" si="2"/>
        <v>45925.21597222222</v>
      </c>
      <c r="D11">
        <v>20.98</v>
      </c>
      <c r="E11">
        <f t="shared" si="0"/>
        <v>2.3716666666666666</v>
      </c>
      <c r="K11" t="e">
        <f>VLOOKUP(A11,IC_raw!$C$2:$E$111,3,FALSE)</f>
        <v>#N/A</v>
      </c>
      <c r="L11" t="e">
        <f>VLOOKUP(A11,IC_raw!$C$2:$E$111,2,FALSE)</f>
        <v>#N/A</v>
      </c>
    </row>
    <row r="12" spans="1:13" x14ac:dyDescent="0.2">
      <c r="A12" t="s">
        <v>134</v>
      </c>
      <c r="B12" s="1">
        <f t="shared" si="1"/>
        <v>45925.21597222222</v>
      </c>
      <c r="C12" s="1">
        <f t="shared" si="2"/>
        <v>45925.46597222222</v>
      </c>
      <c r="D12">
        <v>17.38</v>
      </c>
      <c r="E12">
        <f t="shared" si="0"/>
        <v>1.7716666666666665</v>
      </c>
      <c r="K12" t="e">
        <f>VLOOKUP(A12,IC_raw!$C$2:$E$111,3,FALSE)</f>
        <v>#N/A</v>
      </c>
      <c r="L12" t="e">
        <f>VLOOKUP(A12,IC_raw!$C$2:$E$111,2,FALSE)</f>
        <v>#N/A</v>
      </c>
    </row>
    <row r="13" spans="1:13" x14ac:dyDescent="0.2">
      <c r="A13" t="s">
        <v>135</v>
      </c>
      <c r="B13" s="1">
        <f t="shared" si="1"/>
        <v>45925.46597222222</v>
      </c>
      <c r="C13" s="1">
        <f t="shared" si="2"/>
        <v>45925.71597222222</v>
      </c>
      <c r="D13">
        <v>21.34</v>
      </c>
      <c r="E13">
        <f t="shared" si="0"/>
        <v>2.4316666666666666</v>
      </c>
      <c r="K13" t="e">
        <f>VLOOKUP(A13,IC_raw!$C$2:$E$111,3,FALSE)</f>
        <v>#N/A</v>
      </c>
      <c r="L13" t="e">
        <f>VLOOKUP(A13,IC_raw!$C$2:$E$111,2,FALSE)</f>
        <v>#N/A</v>
      </c>
    </row>
    <row r="14" spans="1:13" x14ac:dyDescent="0.2">
      <c r="A14" t="s">
        <v>136</v>
      </c>
      <c r="B14" s="1">
        <f t="shared" si="1"/>
        <v>45925.71597222222</v>
      </c>
      <c r="C14" s="1">
        <f t="shared" si="2"/>
        <v>45925.96597222222</v>
      </c>
      <c r="D14">
        <v>21.16</v>
      </c>
      <c r="E14">
        <f t="shared" si="0"/>
        <v>2.4016666666666668</v>
      </c>
      <c r="K14" t="e">
        <f>VLOOKUP(A14,IC_raw!$C$2:$E$111,3,FALSE)</f>
        <v>#N/A</v>
      </c>
      <c r="L14" t="e">
        <f>VLOOKUP(A14,IC_raw!$C$2:$E$111,2,FALSE)</f>
        <v>#N/A</v>
      </c>
    </row>
    <row r="15" spans="1:13" x14ac:dyDescent="0.2">
      <c r="A15" t="s">
        <v>137</v>
      </c>
      <c r="B15" s="1">
        <f t="shared" si="1"/>
        <v>45925.96597222222</v>
      </c>
      <c r="C15" s="1">
        <f t="shared" si="2"/>
        <v>45926.21597222222</v>
      </c>
      <c r="D15">
        <v>21.19</v>
      </c>
      <c r="E15">
        <f t="shared" si="0"/>
        <v>2.4066666666666667</v>
      </c>
      <c r="K15" t="e">
        <f>VLOOKUP(A15,IC_raw!$C$2:$E$111,3,FALSE)</f>
        <v>#N/A</v>
      </c>
      <c r="L15" t="e">
        <f>VLOOKUP(A15,IC_raw!$C$2:$E$111,2,FALSE)</f>
        <v>#N/A</v>
      </c>
    </row>
    <row r="16" spans="1:13" x14ac:dyDescent="0.2">
      <c r="A16" t="s">
        <v>138</v>
      </c>
      <c r="B16" s="1">
        <f t="shared" si="1"/>
        <v>45926.21597222222</v>
      </c>
      <c r="C16" s="1">
        <f t="shared" si="2"/>
        <v>45926.46597222222</v>
      </c>
      <c r="D16">
        <v>21.3</v>
      </c>
      <c r="E16">
        <f t="shared" si="0"/>
        <v>2.4250000000000003</v>
      </c>
      <c r="F16">
        <v>7.88</v>
      </c>
      <c r="G16">
        <v>621</v>
      </c>
      <c r="H16">
        <v>4.7E-2</v>
      </c>
      <c r="I16">
        <f>0.5/62*14</f>
        <v>0.11290322580645161</v>
      </c>
      <c r="K16">
        <f>VLOOKUP(A16,IC_raw!$C$2:$E$111,3,FALSE)</f>
        <v>1.21</v>
      </c>
      <c r="L16">
        <f>VLOOKUP(A16,IC_raw!$C$2:$E$111,2,FALSE)</f>
        <v>1</v>
      </c>
      <c r="M16" t="s">
        <v>160</v>
      </c>
    </row>
    <row r="17" spans="1:13" x14ac:dyDescent="0.2">
      <c r="A17" t="s">
        <v>139</v>
      </c>
      <c r="B17" s="1">
        <f t="shared" si="1"/>
        <v>45926.46597222222</v>
      </c>
      <c r="C17" s="1">
        <f t="shared" si="2"/>
        <v>45926.71597222222</v>
      </c>
      <c r="K17" t="e">
        <f>VLOOKUP(A17,IC_raw!$C$2:$E$111,3,FALSE)</f>
        <v>#N/A</v>
      </c>
      <c r="L17" t="e">
        <f>VLOOKUP(A17,IC_raw!$C$2:$E$111,2,FALSE)</f>
        <v>#N/A</v>
      </c>
      <c r="M17" t="s">
        <v>161</v>
      </c>
    </row>
    <row r="18" spans="1:13" x14ac:dyDescent="0.2">
      <c r="A18" t="s">
        <v>140</v>
      </c>
      <c r="B18" s="1">
        <f t="shared" si="1"/>
        <v>45926.71597222222</v>
      </c>
      <c r="C18" s="1">
        <f t="shared" si="2"/>
        <v>45926.96597222222</v>
      </c>
      <c r="D18">
        <v>20.8</v>
      </c>
      <c r="E18">
        <f t="shared" si="0"/>
        <v>2.3416666666666668</v>
      </c>
      <c r="K18" t="e">
        <f>VLOOKUP(A18,IC_raw!$C$2:$E$111,3,FALSE)</f>
        <v>#N/A</v>
      </c>
      <c r="L18" t="e">
        <f>VLOOKUP(A18,IC_raw!$C$2:$E$111,2,FALSE)</f>
        <v>#N/A</v>
      </c>
    </row>
    <row r="19" spans="1:13" x14ac:dyDescent="0.2">
      <c r="A19" t="s">
        <v>141</v>
      </c>
      <c r="B19" s="1">
        <f t="shared" si="1"/>
        <v>45926.96597222222</v>
      </c>
      <c r="C19" s="1">
        <f t="shared" si="2"/>
        <v>45927.21597222222</v>
      </c>
      <c r="D19">
        <v>21.05</v>
      </c>
      <c r="E19">
        <f t="shared" si="0"/>
        <v>2.3833333333333333</v>
      </c>
      <c r="K19" t="e">
        <f>VLOOKUP(A19,IC_raw!$C$2:$E$111,3,FALSE)</f>
        <v>#N/A</v>
      </c>
      <c r="L19" t="e">
        <f>VLOOKUP(A19,IC_raw!$C$2:$E$111,2,FALSE)</f>
        <v>#N/A</v>
      </c>
    </row>
    <row r="20" spans="1:13" x14ac:dyDescent="0.2">
      <c r="A20" t="s">
        <v>142</v>
      </c>
      <c r="B20" s="1">
        <f t="shared" si="1"/>
        <v>45927.21597222222</v>
      </c>
      <c r="C20" s="1">
        <f t="shared" si="2"/>
        <v>45927.46597222222</v>
      </c>
      <c r="D20">
        <v>20.87</v>
      </c>
      <c r="E20">
        <f t="shared" si="0"/>
        <v>2.3533333333333335</v>
      </c>
      <c r="K20" t="e">
        <f>VLOOKUP(A20,IC_raw!$C$2:$E$111,3,FALSE)</f>
        <v>#N/A</v>
      </c>
      <c r="L20" t="e">
        <f>VLOOKUP(A20,IC_raw!$C$2:$E$111,2,FALSE)</f>
        <v>#N/A</v>
      </c>
    </row>
    <row r="21" spans="1:13" x14ac:dyDescent="0.2">
      <c r="A21" t="s">
        <v>143</v>
      </c>
      <c r="B21" s="1">
        <f t="shared" si="1"/>
        <v>45927.46597222222</v>
      </c>
      <c r="C21" s="1">
        <f t="shared" si="2"/>
        <v>45927.71597222222</v>
      </c>
      <c r="D21">
        <v>21.15</v>
      </c>
      <c r="E21">
        <f t="shared" si="0"/>
        <v>2.4</v>
      </c>
      <c r="K21" t="e">
        <f>VLOOKUP(A21,IC_raw!$C$2:$E$111,3,FALSE)</f>
        <v>#N/A</v>
      </c>
      <c r="L21" t="e">
        <f>VLOOKUP(A21,IC_raw!$C$2:$E$111,2,FALSE)</f>
        <v>#N/A</v>
      </c>
    </row>
    <row r="22" spans="1:13" x14ac:dyDescent="0.2">
      <c r="A22" t="s">
        <v>144</v>
      </c>
      <c r="B22" s="1">
        <f t="shared" si="1"/>
        <v>45927.71597222222</v>
      </c>
      <c r="C22" s="1">
        <f t="shared" si="2"/>
        <v>45927.96597222222</v>
      </c>
      <c r="D22">
        <v>21.16</v>
      </c>
      <c r="E22">
        <f t="shared" si="0"/>
        <v>2.4016666666666668</v>
      </c>
      <c r="K22" t="e">
        <f>VLOOKUP(A22,IC_raw!$C$2:$E$111,3,FALSE)</f>
        <v>#N/A</v>
      </c>
      <c r="L22" t="e">
        <f>VLOOKUP(A22,IC_raw!$C$2:$E$111,2,FALSE)</f>
        <v>#N/A</v>
      </c>
    </row>
    <row r="23" spans="1:13" x14ac:dyDescent="0.2">
      <c r="A23" t="s">
        <v>145</v>
      </c>
      <c r="B23" s="1">
        <f t="shared" si="1"/>
        <v>45927.96597222222</v>
      </c>
      <c r="C23" s="1">
        <f t="shared" si="2"/>
        <v>45928.21597222222</v>
      </c>
      <c r="D23">
        <v>20.93</v>
      </c>
      <c r="E23">
        <f t="shared" si="0"/>
        <v>2.3633333333333333</v>
      </c>
      <c r="K23" t="e">
        <f>VLOOKUP(A23,IC_raw!$C$2:$E$111,3,FALSE)</f>
        <v>#N/A</v>
      </c>
      <c r="L23" t="e">
        <f>VLOOKUP(A23,IC_raw!$C$2:$E$111,2,FALSE)</f>
        <v>#N/A</v>
      </c>
    </row>
    <row r="24" spans="1:13" x14ac:dyDescent="0.2">
      <c r="A24" t="s">
        <v>146</v>
      </c>
      <c r="B24" s="1">
        <f t="shared" si="1"/>
        <v>45928.21597222222</v>
      </c>
      <c r="C24" s="1">
        <f t="shared" si="2"/>
        <v>45928.46597222222</v>
      </c>
      <c r="D24">
        <v>21.63</v>
      </c>
      <c r="E24">
        <f t="shared" si="0"/>
        <v>2.48</v>
      </c>
      <c r="F24">
        <v>8.07</v>
      </c>
      <c r="G24">
        <v>583</v>
      </c>
      <c r="H24">
        <v>0.08</v>
      </c>
      <c r="I24">
        <f>0.5/62*14</f>
        <v>0.11290322580645161</v>
      </c>
      <c r="K24">
        <f>VLOOKUP(A24,IC_raw!$C$2:$E$111,3,FALSE)</f>
        <v>0.71</v>
      </c>
      <c r="L24">
        <f>VLOOKUP(A24,IC_raw!$C$2:$E$111,2,FALSE)</f>
        <v>1.02</v>
      </c>
    </row>
    <row r="25" spans="1:13" x14ac:dyDescent="0.2">
      <c r="A25" t="s">
        <v>147</v>
      </c>
      <c r="B25" s="1">
        <f t="shared" si="1"/>
        <v>45928.46597222222</v>
      </c>
      <c r="C25" s="1">
        <f t="shared" si="2"/>
        <v>45928.71597222222</v>
      </c>
      <c r="D25">
        <v>21.45</v>
      </c>
      <c r="E25">
        <f t="shared" si="0"/>
        <v>2.4499999999999997</v>
      </c>
      <c r="K25" t="e">
        <f>VLOOKUP(A25,IC_raw!$C$2:$E$111,3,FALSE)</f>
        <v>#N/A</v>
      </c>
      <c r="L25" t="e">
        <f>VLOOKUP(A25,IC_raw!$C$2:$E$111,2,FALSE)</f>
        <v>#N/A</v>
      </c>
    </row>
    <row r="26" spans="1:13" x14ac:dyDescent="0.2">
      <c r="A26" t="s">
        <v>148</v>
      </c>
      <c r="B26" s="1">
        <f t="shared" si="1"/>
        <v>45928.71597222222</v>
      </c>
      <c r="C26" s="1">
        <f t="shared" si="2"/>
        <v>45928.96597222222</v>
      </c>
      <c r="D26">
        <v>21.28</v>
      </c>
      <c r="E26">
        <f t="shared" si="0"/>
        <v>2.4216666666666669</v>
      </c>
      <c r="K26" t="e">
        <f>VLOOKUP(A26,IC_raw!$C$2:$E$111,3,FALSE)</f>
        <v>#N/A</v>
      </c>
      <c r="L26" t="e">
        <f>VLOOKUP(A26,IC_raw!$C$2:$E$111,2,FALSE)</f>
        <v>#N/A</v>
      </c>
    </row>
    <row r="27" spans="1:13" x14ac:dyDescent="0.2">
      <c r="A27" t="s">
        <v>149</v>
      </c>
      <c r="B27" s="1">
        <f t="shared" si="1"/>
        <v>45928.96597222222</v>
      </c>
      <c r="C27" s="1">
        <f t="shared" si="2"/>
        <v>45929.21597222222</v>
      </c>
      <c r="D27">
        <v>20.92</v>
      </c>
      <c r="E27">
        <f t="shared" si="0"/>
        <v>2.3616666666666668</v>
      </c>
      <c r="K27" t="e">
        <f>VLOOKUP(A27,IC_raw!$C$2:$E$111,3,FALSE)</f>
        <v>#N/A</v>
      </c>
      <c r="L27" t="e">
        <f>VLOOKUP(A27,IC_raw!$C$2:$E$111,2,FALSE)</f>
        <v>#N/A</v>
      </c>
    </row>
    <row r="28" spans="1:13" x14ac:dyDescent="0.2">
      <c r="A28" t="s">
        <v>150</v>
      </c>
      <c r="B28" s="1">
        <f t="shared" si="1"/>
        <v>45929.21597222222</v>
      </c>
      <c r="C28" s="1">
        <f t="shared" si="2"/>
        <v>45929.46597222222</v>
      </c>
      <c r="D28">
        <v>20.99</v>
      </c>
      <c r="E28">
        <f t="shared" si="0"/>
        <v>2.3733333333333331</v>
      </c>
      <c r="F28">
        <v>7.95</v>
      </c>
      <c r="G28">
        <v>635</v>
      </c>
      <c r="H28">
        <v>7.0000000000000007E-2</v>
      </c>
      <c r="I28">
        <f>0.5/62*14</f>
        <v>0.11290322580645161</v>
      </c>
      <c r="K28">
        <f>VLOOKUP(A28,IC_raw!$C$2:$E$111,3,FALSE)</f>
        <v>1.07</v>
      </c>
      <c r="L28">
        <f>VLOOKUP(A28,IC_raw!$C$2:$E$111,2,FALSE)</f>
        <v>1</v>
      </c>
      <c r="M28" t="s">
        <v>186</v>
      </c>
    </row>
    <row r="29" spans="1:13" x14ac:dyDescent="0.2">
      <c r="A29" t="s">
        <v>151</v>
      </c>
      <c r="B29" s="1">
        <f t="shared" si="1"/>
        <v>45929.46597222222</v>
      </c>
      <c r="C29" s="1">
        <f t="shared" si="2"/>
        <v>45929.71597222222</v>
      </c>
      <c r="D29">
        <v>22.73</v>
      </c>
      <c r="E29">
        <f t="shared" si="0"/>
        <v>2.6633333333333336</v>
      </c>
      <c r="K29" t="e">
        <f>VLOOKUP(A29,IC_raw!$C$2:$E$111,3,FALSE)</f>
        <v>#N/A</v>
      </c>
      <c r="L29" t="e">
        <f>VLOOKUP(A29,IC_raw!$C$2:$E$111,2,FALSE)</f>
        <v>#N/A</v>
      </c>
    </row>
    <row r="30" spans="1:13" x14ac:dyDescent="0.2">
      <c r="A30" t="s">
        <v>152</v>
      </c>
      <c r="B30" s="1">
        <f t="shared" si="1"/>
        <v>45929.71597222222</v>
      </c>
      <c r="C30" s="1">
        <f t="shared" si="2"/>
        <v>45929.96597222222</v>
      </c>
      <c r="D30">
        <v>23.03</v>
      </c>
      <c r="E30">
        <f t="shared" si="0"/>
        <v>2.7133333333333334</v>
      </c>
      <c r="K30" t="e">
        <f>VLOOKUP(A30,IC_raw!$C$2:$E$111,3,FALSE)</f>
        <v>#N/A</v>
      </c>
      <c r="L30" t="e">
        <f>VLOOKUP(A30,IC_raw!$C$2:$E$111,2,FALSE)</f>
        <v>#N/A</v>
      </c>
    </row>
    <row r="31" spans="1:13" x14ac:dyDescent="0.2">
      <c r="A31" t="s">
        <v>153</v>
      </c>
      <c r="B31" s="1">
        <f t="shared" si="1"/>
        <v>45929.96597222222</v>
      </c>
      <c r="C31" s="1">
        <f t="shared" si="2"/>
        <v>45930.21597222222</v>
      </c>
      <c r="D31">
        <v>23.19</v>
      </c>
      <c r="E31">
        <f t="shared" si="0"/>
        <v>2.74</v>
      </c>
      <c r="K31" t="e">
        <f>VLOOKUP(A31,IC_raw!$C$2:$E$111,3,FALSE)</f>
        <v>#N/A</v>
      </c>
      <c r="L31" t="e">
        <f>VLOOKUP(A31,IC_raw!$C$2:$E$111,2,FALSE)</f>
        <v>#N/A</v>
      </c>
    </row>
    <row r="32" spans="1:13" x14ac:dyDescent="0.2">
      <c r="A32" t="s">
        <v>154</v>
      </c>
      <c r="B32" s="1">
        <f t="shared" si="1"/>
        <v>45930.21597222222</v>
      </c>
      <c r="C32" s="1">
        <f t="shared" si="2"/>
        <v>45930.46597222222</v>
      </c>
      <c r="D32">
        <v>23.2</v>
      </c>
      <c r="E32">
        <f t="shared" si="0"/>
        <v>2.7416666666666667</v>
      </c>
      <c r="K32" t="e">
        <f>VLOOKUP(A32,IC_raw!$C$2:$E$111,3,FALSE)</f>
        <v>#N/A</v>
      </c>
      <c r="L32" t="e">
        <f>VLOOKUP(A32,IC_raw!$C$2:$E$111,2,FALSE)</f>
        <v>#N/A</v>
      </c>
    </row>
    <row r="33" spans="1:12" x14ac:dyDescent="0.2">
      <c r="A33" t="s">
        <v>155</v>
      </c>
      <c r="B33" s="1">
        <f t="shared" si="1"/>
        <v>45930.46597222222</v>
      </c>
      <c r="C33" s="1">
        <f t="shared" si="2"/>
        <v>45930.71597222222</v>
      </c>
      <c r="K33" t="e">
        <f>VLOOKUP(A33,IC_raw!$C$2:$E$111,3,FALSE)</f>
        <v>#N/A</v>
      </c>
      <c r="L33" t="e">
        <f>VLOOKUP(A33,IC_raw!$C$2:$E$111,2,FALSE)</f>
        <v>#N/A</v>
      </c>
    </row>
    <row r="34" spans="1:12" x14ac:dyDescent="0.2">
      <c r="A34" t="s">
        <v>156</v>
      </c>
      <c r="B34" s="1">
        <f t="shared" si="1"/>
        <v>45930.71597222222</v>
      </c>
      <c r="C34" s="1">
        <f t="shared" si="2"/>
        <v>45930.96597222222</v>
      </c>
      <c r="D34">
        <v>21.38</v>
      </c>
      <c r="E34">
        <f t="shared" si="0"/>
        <v>2.438333333333333</v>
      </c>
      <c r="K34" t="e">
        <f>VLOOKUP(A34,IC_raw!$C$2:$E$111,3,FALSE)</f>
        <v>#N/A</v>
      </c>
      <c r="L34" t="e">
        <f>VLOOKUP(A34,IC_raw!$C$2:$E$111,2,FALSE)</f>
        <v>#N/A</v>
      </c>
    </row>
    <row r="35" spans="1:12" x14ac:dyDescent="0.2">
      <c r="A35" t="s">
        <v>157</v>
      </c>
      <c r="B35" s="1">
        <f t="shared" si="1"/>
        <v>45930.96597222222</v>
      </c>
      <c r="C35" s="1">
        <f t="shared" si="2"/>
        <v>45931.21597222222</v>
      </c>
      <c r="D35">
        <v>21.15</v>
      </c>
      <c r="E35">
        <f t="shared" si="0"/>
        <v>2.4</v>
      </c>
      <c r="K35" t="e">
        <f>VLOOKUP(A35,IC_raw!$C$2:$E$111,3,FALSE)</f>
        <v>#N/A</v>
      </c>
      <c r="L35" t="e">
        <f>VLOOKUP(A35,IC_raw!$C$2:$E$111,2,FALSE)</f>
        <v>#N/A</v>
      </c>
    </row>
    <row r="36" spans="1:12" x14ac:dyDescent="0.2">
      <c r="A36" t="s">
        <v>158</v>
      </c>
      <c r="B36" s="1">
        <f t="shared" si="1"/>
        <v>45931.21597222222</v>
      </c>
      <c r="C36" s="1">
        <f t="shared" si="2"/>
        <v>45931.46597222222</v>
      </c>
      <c r="D36">
        <v>21.08</v>
      </c>
      <c r="E36">
        <f t="shared" si="0"/>
        <v>2.3883333333333332</v>
      </c>
      <c r="F36">
        <v>7.86</v>
      </c>
      <c r="G36">
        <v>639</v>
      </c>
      <c r="K36">
        <f>VLOOKUP(A36,IC_raw!$C$2:$E$111,3,FALSE)</f>
        <v>0</v>
      </c>
      <c r="L36">
        <f>VLOOKUP(A36,IC_raw!$C$2:$E$111,2,FALSE)</f>
        <v>0</v>
      </c>
    </row>
    <row r="37" spans="1:12" x14ac:dyDescent="0.2">
      <c r="A37" t="s">
        <v>259</v>
      </c>
      <c r="B37" s="1">
        <f t="shared" ref="B37:B56" si="3">C36</f>
        <v>45931.46597222222</v>
      </c>
      <c r="C37" s="1">
        <f t="shared" ref="C37:C56" si="4">B37+6/24</f>
        <v>45931.71597222222</v>
      </c>
      <c r="D37">
        <v>18.920000000000002</v>
      </c>
      <c r="E37">
        <f t="shared" si="0"/>
        <v>2.0283333333333338</v>
      </c>
      <c r="K37" t="e">
        <f>VLOOKUP(A37,IC_raw!$C$2:$E$111,3,FALSE)</f>
        <v>#N/A</v>
      </c>
      <c r="L37" t="e">
        <f>VLOOKUP(A37,IC_raw!$C$2:$E$111,2,FALSE)</f>
        <v>#N/A</v>
      </c>
    </row>
    <row r="38" spans="1:12" x14ac:dyDescent="0.2">
      <c r="A38" t="s">
        <v>260</v>
      </c>
      <c r="B38" s="1">
        <f t="shared" si="3"/>
        <v>45931.71597222222</v>
      </c>
      <c r="C38" s="1">
        <f t="shared" si="4"/>
        <v>45931.96597222222</v>
      </c>
      <c r="D38">
        <v>18.940000000000001</v>
      </c>
      <c r="E38">
        <f t="shared" si="0"/>
        <v>2.0316666666666667</v>
      </c>
      <c r="K38" t="e">
        <f>VLOOKUP(A38,IC_raw!$C$2:$E$111,3,FALSE)</f>
        <v>#N/A</v>
      </c>
      <c r="L38" t="e">
        <f>VLOOKUP(A38,IC_raw!$C$2:$E$111,2,FALSE)</f>
        <v>#N/A</v>
      </c>
    </row>
    <row r="39" spans="1:12" x14ac:dyDescent="0.2">
      <c r="A39" t="s">
        <v>261</v>
      </c>
      <c r="B39" s="1">
        <f t="shared" si="3"/>
        <v>45931.96597222222</v>
      </c>
      <c r="C39" s="1">
        <f t="shared" si="4"/>
        <v>45932.21597222222</v>
      </c>
      <c r="D39">
        <v>18.329999999999998</v>
      </c>
      <c r="E39">
        <f t="shared" si="0"/>
        <v>1.9299999999999997</v>
      </c>
      <c r="K39" t="e">
        <f>VLOOKUP(A39,IC_raw!$C$2:$E$111,3,FALSE)</f>
        <v>#N/A</v>
      </c>
      <c r="L39" t="e">
        <f>VLOOKUP(A39,IC_raw!$C$2:$E$111,2,FALSE)</f>
        <v>#N/A</v>
      </c>
    </row>
    <row r="40" spans="1:12" x14ac:dyDescent="0.2">
      <c r="A40" t="s">
        <v>262</v>
      </c>
      <c r="B40" s="1">
        <f t="shared" si="3"/>
        <v>45932.21597222222</v>
      </c>
      <c r="C40" s="1">
        <f t="shared" si="4"/>
        <v>45932.46597222222</v>
      </c>
      <c r="D40">
        <v>18.63</v>
      </c>
      <c r="E40">
        <f t="shared" si="0"/>
        <v>1.9799999999999998</v>
      </c>
      <c r="F40">
        <v>7.88</v>
      </c>
      <c r="G40">
        <v>608</v>
      </c>
      <c r="K40">
        <f>VLOOKUP(A40,IC_raw!$C$2:$E$111,3,FALSE)</f>
        <v>0.85</v>
      </c>
      <c r="L40">
        <f>VLOOKUP(A40,IC_raw!$C$2:$E$111,2,FALSE)</f>
        <v>0.98</v>
      </c>
    </row>
    <row r="41" spans="1:12" x14ac:dyDescent="0.2">
      <c r="A41" t="s">
        <v>263</v>
      </c>
      <c r="B41" s="1">
        <f t="shared" si="3"/>
        <v>45932.46597222222</v>
      </c>
      <c r="C41" s="1">
        <f t="shared" si="4"/>
        <v>45932.71597222222</v>
      </c>
      <c r="D41">
        <v>18.63</v>
      </c>
      <c r="E41">
        <f t="shared" si="0"/>
        <v>1.9799999999999998</v>
      </c>
      <c r="K41" t="e">
        <f>VLOOKUP(A41,IC_raw!$C$2:$E$111,3,FALSE)</f>
        <v>#N/A</v>
      </c>
      <c r="L41" t="e">
        <f>VLOOKUP(A41,IC_raw!$C$2:$E$111,2,FALSE)</f>
        <v>#N/A</v>
      </c>
    </row>
    <row r="42" spans="1:12" x14ac:dyDescent="0.2">
      <c r="A42" t="s">
        <v>264</v>
      </c>
      <c r="B42" s="1">
        <f t="shared" si="3"/>
        <v>45932.71597222222</v>
      </c>
      <c r="C42" s="1">
        <f t="shared" si="4"/>
        <v>45932.96597222222</v>
      </c>
      <c r="D42">
        <v>18.329999999999998</v>
      </c>
      <c r="E42">
        <f t="shared" si="0"/>
        <v>1.9299999999999997</v>
      </c>
      <c r="K42" t="e">
        <f>VLOOKUP(A42,IC_raw!$C$2:$E$111,3,FALSE)</f>
        <v>#N/A</v>
      </c>
      <c r="L42" t="e">
        <f>VLOOKUP(A42,IC_raw!$C$2:$E$111,2,FALSE)</f>
        <v>#N/A</v>
      </c>
    </row>
    <row r="43" spans="1:12" x14ac:dyDescent="0.2">
      <c r="A43" t="s">
        <v>265</v>
      </c>
      <c r="B43" s="1">
        <f t="shared" si="3"/>
        <v>45932.96597222222</v>
      </c>
      <c r="C43" s="1">
        <f t="shared" si="4"/>
        <v>45933.21597222222</v>
      </c>
      <c r="D43">
        <v>18.27</v>
      </c>
      <c r="E43">
        <f t="shared" si="0"/>
        <v>1.92</v>
      </c>
      <c r="K43" t="e">
        <f>VLOOKUP(A43,IC_raw!$C$2:$E$111,3,FALSE)</f>
        <v>#N/A</v>
      </c>
      <c r="L43" t="e">
        <f>VLOOKUP(A43,IC_raw!$C$2:$E$111,2,FALSE)</f>
        <v>#N/A</v>
      </c>
    </row>
    <row r="44" spans="1:12" x14ac:dyDescent="0.2">
      <c r="A44" t="s">
        <v>266</v>
      </c>
      <c r="B44" s="1">
        <f t="shared" si="3"/>
        <v>45933.21597222222</v>
      </c>
      <c r="C44" s="1">
        <f t="shared" si="4"/>
        <v>45933.46597222222</v>
      </c>
      <c r="D44">
        <v>18.28</v>
      </c>
      <c r="E44">
        <f t="shared" si="0"/>
        <v>1.9216666666666669</v>
      </c>
      <c r="K44">
        <f>VLOOKUP(A44,IC_raw!$C$2:$E$111,3,FALSE)</f>
        <v>0.72</v>
      </c>
      <c r="L44">
        <f>VLOOKUP(A44,IC_raw!$C$2:$E$111,2,FALSE)</f>
        <v>1</v>
      </c>
    </row>
    <row r="45" spans="1:12" x14ac:dyDescent="0.2">
      <c r="A45" t="s">
        <v>267</v>
      </c>
      <c r="B45" s="1">
        <f t="shared" si="3"/>
        <v>45933.46597222222</v>
      </c>
      <c r="C45" s="1">
        <f t="shared" si="4"/>
        <v>45933.71597222222</v>
      </c>
      <c r="D45">
        <v>18.29</v>
      </c>
      <c r="E45">
        <f t="shared" si="0"/>
        <v>1.9233333333333331</v>
      </c>
      <c r="K45" t="e">
        <f>VLOOKUP(A45,IC_raw!$C$2:$E$111,3,FALSE)</f>
        <v>#N/A</v>
      </c>
      <c r="L45" t="e">
        <f>VLOOKUP(A45,IC_raw!$C$2:$E$111,2,FALSE)</f>
        <v>#N/A</v>
      </c>
    </row>
    <row r="46" spans="1:12" x14ac:dyDescent="0.2">
      <c r="A46" t="s">
        <v>268</v>
      </c>
      <c r="B46" s="1">
        <f t="shared" si="3"/>
        <v>45933.71597222222</v>
      </c>
      <c r="C46" s="1">
        <f t="shared" si="4"/>
        <v>45933.96597222222</v>
      </c>
      <c r="D46">
        <v>18.309999999999999</v>
      </c>
      <c r="E46">
        <f t="shared" si="0"/>
        <v>1.9266666666666665</v>
      </c>
      <c r="K46" t="e">
        <f>VLOOKUP(A46,IC_raw!$C$2:$E$111,3,FALSE)</f>
        <v>#N/A</v>
      </c>
      <c r="L46" t="e">
        <f>VLOOKUP(A46,IC_raw!$C$2:$E$111,2,FALSE)</f>
        <v>#N/A</v>
      </c>
    </row>
    <row r="47" spans="1:12" x14ac:dyDescent="0.2">
      <c r="A47" t="s">
        <v>269</v>
      </c>
      <c r="B47" s="1">
        <f t="shared" si="3"/>
        <v>45933.96597222222</v>
      </c>
      <c r="C47" s="1">
        <f t="shared" si="4"/>
        <v>45934.21597222222</v>
      </c>
      <c r="D47">
        <v>18.29</v>
      </c>
      <c r="E47">
        <f t="shared" si="0"/>
        <v>1.9233333333333331</v>
      </c>
      <c r="K47" t="e">
        <f>VLOOKUP(A47,IC_raw!$C$2:$E$111,3,FALSE)</f>
        <v>#N/A</v>
      </c>
      <c r="L47" t="e">
        <f>VLOOKUP(A47,IC_raw!$C$2:$E$111,2,FALSE)</f>
        <v>#N/A</v>
      </c>
    </row>
    <row r="48" spans="1:12" x14ac:dyDescent="0.2">
      <c r="A48" t="s">
        <v>270</v>
      </c>
      <c r="B48" s="1">
        <f t="shared" si="3"/>
        <v>45934.21597222222</v>
      </c>
      <c r="C48" s="1">
        <f t="shared" si="4"/>
        <v>45934.46597222222</v>
      </c>
      <c r="D48">
        <v>18.329999999999998</v>
      </c>
      <c r="E48">
        <f t="shared" si="0"/>
        <v>1.9299999999999997</v>
      </c>
      <c r="F48">
        <v>8.16</v>
      </c>
      <c r="G48">
        <v>557</v>
      </c>
      <c r="K48">
        <f>VLOOKUP(A48,IC_raw!$C$2:$E$111,3,FALSE)</f>
        <v>0.93</v>
      </c>
      <c r="L48">
        <f>VLOOKUP(A48,IC_raw!$C$2:$E$111,2,FALSE)</f>
        <v>0.99</v>
      </c>
    </row>
    <row r="49" spans="1:12" x14ac:dyDescent="0.2">
      <c r="A49" t="s">
        <v>271</v>
      </c>
      <c r="B49" s="1">
        <f t="shared" si="3"/>
        <v>45934.46597222222</v>
      </c>
      <c r="C49" s="1">
        <f t="shared" si="4"/>
        <v>45934.71597222222</v>
      </c>
      <c r="D49">
        <v>18.12</v>
      </c>
      <c r="E49">
        <f t="shared" si="0"/>
        <v>1.8950000000000002</v>
      </c>
      <c r="K49" t="e">
        <f>VLOOKUP(A49,IC_raw!$C$2:$E$111,3,FALSE)</f>
        <v>#N/A</v>
      </c>
      <c r="L49" t="e">
        <f>VLOOKUP(A49,IC_raw!$C$2:$E$111,2,FALSE)</f>
        <v>#N/A</v>
      </c>
    </row>
    <row r="50" spans="1:12" x14ac:dyDescent="0.2">
      <c r="A50" t="s">
        <v>272</v>
      </c>
      <c r="B50" s="1">
        <f t="shared" si="3"/>
        <v>45934.71597222222</v>
      </c>
      <c r="C50" s="1">
        <f t="shared" si="4"/>
        <v>45934.96597222222</v>
      </c>
      <c r="D50">
        <v>18.11</v>
      </c>
      <c r="E50">
        <f t="shared" si="0"/>
        <v>1.8933333333333333</v>
      </c>
      <c r="K50" t="e">
        <f>VLOOKUP(A50,IC_raw!$C$2:$E$111,3,FALSE)</f>
        <v>#N/A</v>
      </c>
      <c r="L50" t="e">
        <f>VLOOKUP(A50,IC_raw!$C$2:$E$111,2,FALSE)</f>
        <v>#N/A</v>
      </c>
    </row>
    <row r="51" spans="1:12" x14ac:dyDescent="0.2">
      <c r="A51" t="s">
        <v>273</v>
      </c>
      <c r="B51" s="1">
        <f t="shared" si="3"/>
        <v>45934.96597222222</v>
      </c>
      <c r="C51" s="1">
        <f t="shared" si="4"/>
        <v>45935.21597222222</v>
      </c>
      <c r="D51">
        <v>18.14</v>
      </c>
      <c r="E51">
        <f t="shared" si="0"/>
        <v>1.8983333333333334</v>
      </c>
      <c r="K51" t="e">
        <f>VLOOKUP(A51,IC_raw!$C$2:$E$111,3,FALSE)</f>
        <v>#N/A</v>
      </c>
      <c r="L51" t="e">
        <f>VLOOKUP(A51,IC_raw!$C$2:$E$111,2,FALSE)</f>
        <v>#N/A</v>
      </c>
    </row>
    <row r="52" spans="1:12" x14ac:dyDescent="0.2">
      <c r="A52" t="s">
        <v>274</v>
      </c>
      <c r="B52" s="1">
        <f t="shared" si="3"/>
        <v>45935.21597222222</v>
      </c>
      <c r="C52" s="1">
        <f t="shared" si="4"/>
        <v>45935.46597222222</v>
      </c>
      <c r="D52">
        <v>18.25</v>
      </c>
      <c r="E52">
        <f t="shared" si="0"/>
        <v>1.9166666666666667</v>
      </c>
      <c r="K52" t="e">
        <f>VLOOKUP(A52,IC_raw!$C$2:$E$111,3,FALSE)</f>
        <v>#N/A</v>
      </c>
      <c r="L52" t="e">
        <f>VLOOKUP(A52,IC_raw!$C$2:$E$111,2,FALSE)</f>
        <v>#N/A</v>
      </c>
    </row>
    <row r="53" spans="1:12" x14ac:dyDescent="0.2">
      <c r="A53" t="s">
        <v>275</v>
      </c>
      <c r="B53" s="1">
        <f t="shared" si="3"/>
        <v>45935.46597222222</v>
      </c>
      <c r="C53" s="1">
        <f t="shared" si="4"/>
        <v>45935.71597222222</v>
      </c>
      <c r="D53">
        <v>18.14</v>
      </c>
      <c r="E53">
        <f t="shared" si="0"/>
        <v>1.8983333333333334</v>
      </c>
      <c r="K53" t="e">
        <f>VLOOKUP(A53,IC_raw!$C$2:$E$111,3,FALSE)</f>
        <v>#N/A</v>
      </c>
      <c r="L53" t="e">
        <f>VLOOKUP(A53,IC_raw!$C$2:$E$111,2,FALSE)</f>
        <v>#N/A</v>
      </c>
    </row>
    <row r="54" spans="1:12" x14ac:dyDescent="0.2">
      <c r="A54" t="s">
        <v>276</v>
      </c>
      <c r="B54" s="1">
        <f t="shared" si="3"/>
        <v>45935.71597222222</v>
      </c>
      <c r="C54" s="1">
        <f t="shared" si="4"/>
        <v>45935.96597222222</v>
      </c>
      <c r="D54">
        <v>18.190000000000001</v>
      </c>
      <c r="E54">
        <f t="shared" si="0"/>
        <v>1.906666666666667</v>
      </c>
      <c r="K54" t="e">
        <f>VLOOKUP(A54,IC_raw!$C$2:$E$111,3,FALSE)</f>
        <v>#N/A</v>
      </c>
      <c r="L54" t="e">
        <f>VLOOKUP(A54,IC_raw!$C$2:$E$111,2,FALSE)</f>
        <v>#N/A</v>
      </c>
    </row>
    <row r="55" spans="1:12" x14ac:dyDescent="0.2">
      <c r="A55" t="s">
        <v>277</v>
      </c>
      <c r="B55" s="1">
        <f t="shared" si="3"/>
        <v>45935.96597222222</v>
      </c>
      <c r="C55" s="1">
        <f t="shared" si="4"/>
        <v>45936.21597222222</v>
      </c>
      <c r="D55">
        <v>18.21</v>
      </c>
      <c r="E55">
        <f t="shared" si="0"/>
        <v>1.9100000000000001</v>
      </c>
      <c r="K55" t="e">
        <f>VLOOKUP(A55,IC_raw!$C$2:$E$111,3,FALSE)</f>
        <v>#N/A</v>
      </c>
      <c r="L55" t="e">
        <f>VLOOKUP(A55,IC_raw!$C$2:$E$111,2,FALSE)</f>
        <v>#N/A</v>
      </c>
    </row>
    <row r="56" spans="1:12" x14ac:dyDescent="0.2">
      <c r="A56" t="s">
        <v>278</v>
      </c>
      <c r="B56" s="1">
        <f t="shared" si="3"/>
        <v>45936.21597222222</v>
      </c>
      <c r="C56" s="1">
        <f t="shared" si="4"/>
        <v>45936.46597222222</v>
      </c>
      <c r="D56">
        <v>18.25</v>
      </c>
      <c r="E56">
        <f t="shared" si="0"/>
        <v>1.9166666666666667</v>
      </c>
      <c r="F56">
        <v>7.9</v>
      </c>
      <c r="G56">
        <v>598</v>
      </c>
      <c r="K56">
        <f>VLOOKUP(A56,IC_raw!$C$2:$E$111,3,FALSE)</f>
        <v>0.86</v>
      </c>
      <c r="L56">
        <f>VLOOKUP(A56,IC_raw!$C$2:$E$111,2,FALSE)</f>
        <v>0.99</v>
      </c>
    </row>
    <row r="57" spans="1:12" x14ac:dyDescent="0.2">
      <c r="A57" t="s">
        <v>360</v>
      </c>
      <c r="B57" s="1">
        <f t="shared" ref="B57:B80" si="5">C56</f>
        <v>45936.46597222222</v>
      </c>
      <c r="C57" s="1">
        <f t="shared" ref="C57:C80" si="6">B57+6/24</f>
        <v>45936.71597222222</v>
      </c>
      <c r="K57" t="e">
        <f>VLOOKUP(A57,IC_raw!$C$2:$E$111,3,FALSE)</f>
        <v>#N/A</v>
      </c>
      <c r="L57" t="e">
        <f>VLOOKUP(A57,IC_raw!$C$2:$E$111,2,FALSE)</f>
        <v>#N/A</v>
      </c>
    </row>
    <row r="58" spans="1:12" x14ac:dyDescent="0.2">
      <c r="A58" t="s">
        <v>361</v>
      </c>
      <c r="B58" s="1">
        <f t="shared" si="5"/>
        <v>45936.71597222222</v>
      </c>
      <c r="C58" s="1">
        <f t="shared" si="6"/>
        <v>45936.96597222222</v>
      </c>
      <c r="K58" t="e">
        <f>VLOOKUP(A58,IC_raw!$C$2:$E$111,3,FALSE)</f>
        <v>#N/A</v>
      </c>
      <c r="L58" t="e">
        <f>VLOOKUP(A58,IC_raw!$C$2:$E$111,2,FALSE)</f>
        <v>#N/A</v>
      </c>
    </row>
    <row r="59" spans="1:12" x14ac:dyDescent="0.2">
      <c r="A59" t="s">
        <v>362</v>
      </c>
      <c r="B59" s="1">
        <f t="shared" si="5"/>
        <v>45936.96597222222</v>
      </c>
      <c r="C59" s="1">
        <f t="shared" si="6"/>
        <v>45937.21597222222</v>
      </c>
      <c r="K59" t="e">
        <f>VLOOKUP(A59,IC_raw!$C$2:$E$111,3,FALSE)</f>
        <v>#N/A</v>
      </c>
      <c r="L59" t="e">
        <f>VLOOKUP(A59,IC_raw!$C$2:$E$111,2,FALSE)</f>
        <v>#N/A</v>
      </c>
    </row>
    <row r="60" spans="1:12" x14ac:dyDescent="0.2">
      <c r="A60" t="s">
        <v>363</v>
      </c>
      <c r="B60" s="1">
        <f t="shared" si="5"/>
        <v>45937.21597222222</v>
      </c>
      <c r="C60" s="1">
        <f t="shared" si="6"/>
        <v>45937.46597222222</v>
      </c>
      <c r="D60">
        <v>18.149999999999999</v>
      </c>
      <c r="E60">
        <f t="shared" ref="E60" si="7">(D60-6.75)/6</f>
        <v>1.8999999999999997</v>
      </c>
      <c r="K60">
        <f>VLOOKUP(A60,IC_raw!$C$2:$E$111,3,FALSE)</f>
        <v>0.93</v>
      </c>
      <c r="L60">
        <f>VLOOKUP(A60,IC_raw!$C$2:$E$111,2,FALSE)</f>
        <v>0.99</v>
      </c>
    </row>
    <row r="61" spans="1:12" x14ac:dyDescent="0.2">
      <c r="A61" t="s">
        <v>364</v>
      </c>
      <c r="B61" s="1">
        <f t="shared" si="5"/>
        <v>45937.46597222222</v>
      </c>
      <c r="C61" s="1">
        <f t="shared" si="6"/>
        <v>45937.71597222222</v>
      </c>
      <c r="K61" t="e">
        <f>VLOOKUP(A61,IC_raw!$C$2:$E$111,3,FALSE)</f>
        <v>#N/A</v>
      </c>
      <c r="L61" t="e">
        <f>VLOOKUP(A61,IC_raw!$C$2:$E$111,2,FALSE)</f>
        <v>#N/A</v>
      </c>
    </row>
    <row r="62" spans="1:12" x14ac:dyDescent="0.2">
      <c r="A62" t="s">
        <v>365</v>
      </c>
      <c r="B62" s="1">
        <f t="shared" si="5"/>
        <v>45937.71597222222</v>
      </c>
      <c r="C62" s="1">
        <f t="shared" si="6"/>
        <v>45937.96597222222</v>
      </c>
      <c r="D62">
        <v>17.100000000000001</v>
      </c>
      <c r="E62">
        <f t="shared" ref="E62" si="8">(D62-6.75)/6</f>
        <v>1.7250000000000003</v>
      </c>
      <c r="K62" t="e">
        <f>VLOOKUP(A62,IC_raw!$C$2:$E$111,3,FALSE)</f>
        <v>#N/A</v>
      </c>
      <c r="L62" t="e">
        <f>VLOOKUP(A62,IC_raw!$C$2:$E$111,2,FALSE)</f>
        <v>#N/A</v>
      </c>
    </row>
    <row r="63" spans="1:12" x14ac:dyDescent="0.2">
      <c r="A63" t="s">
        <v>366</v>
      </c>
      <c r="B63" s="1">
        <f t="shared" si="5"/>
        <v>45937.96597222222</v>
      </c>
      <c r="C63" s="1">
        <f t="shared" si="6"/>
        <v>45938.21597222222</v>
      </c>
      <c r="D63">
        <v>17.829999999999998</v>
      </c>
      <c r="E63">
        <f t="shared" ref="E63:E81" si="9">(D63-6.75)/6</f>
        <v>1.8466666666666665</v>
      </c>
      <c r="K63" t="e">
        <f>VLOOKUP(A63,IC_raw!$C$2:$E$111,3,FALSE)</f>
        <v>#N/A</v>
      </c>
      <c r="L63" t="e">
        <f>VLOOKUP(A63,IC_raw!$C$2:$E$111,2,FALSE)</f>
        <v>#N/A</v>
      </c>
    </row>
    <row r="64" spans="1:12" x14ac:dyDescent="0.2">
      <c r="A64" t="s">
        <v>367</v>
      </c>
      <c r="B64" s="1">
        <f t="shared" si="5"/>
        <v>45938.21597222222</v>
      </c>
      <c r="C64" s="1">
        <f t="shared" si="6"/>
        <v>45938.46597222222</v>
      </c>
      <c r="D64">
        <v>17.98</v>
      </c>
      <c r="E64">
        <f t="shared" si="9"/>
        <v>1.8716666666666668</v>
      </c>
      <c r="F64">
        <v>7.83</v>
      </c>
      <c r="G64">
        <v>548</v>
      </c>
      <c r="K64">
        <f>VLOOKUP(A64,IC_raw!$C$2:$E$111,3,FALSE)</f>
        <v>0.91</v>
      </c>
      <c r="L64">
        <f>VLOOKUP(A64,IC_raw!$C$2:$E$111,2,FALSE)</f>
        <v>0.99</v>
      </c>
    </row>
    <row r="65" spans="1:12" x14ac:dyDescent="0.2">
      <c r="A65" t="s">
        <v>368</v>
      </c>
      <c r="B65" s="1">
        <f t="shared" si="5"/>
        <v>45938.46597222222</v>
      </c>
      <c r="C65" s="1">
        <f t="shared" si="6"/>
        <v>45938.71597222222</v>
      </c>
      <c r="D65">
        <v>18.63</v>
      </c>
      <c r="E65">
        <f t="shared" si="9"/>
        <v>1.9799999999999998</v>
      </c>
      <c r="K65" t="e">
        <f>VLOOKUP(A65,IC_raw!$C$2:$E$111,3,FALSE)</f>
        <v>#N/A</v>
      </c>
      <c r="L65" t="e">
        <f>VLOOKUP(A65,IC_raw!$C$2:$E$111,2,FALSE)</f>
        <v>#N/A</v>
      </c>
    </row>
    <row r="66" spans="1:12" x14ac:dyDescent="0.2">
      <c r="A66" t="s">
        <v>369</v>
      </c>
      <c r="B66" s="1">
        <f t="shared" si="5"/>
        <v>45938.71597222222</v>
      </c>
      <c r="C66" s="1">
        <f t="shared" si="6"/>
        <v>45938.96597222222</v>
      </c>
      <c r="D66">
        <v>18.71</v>
      </c>
      <c r="E66">
        <f t="shared" si="9"/>
        <v>1.9933333333333334</v>
      </c>
      <c r="K66" t="e">
        <f>VLOOKUP(A66,IC_raw!$C$2:$E$111,3,FALSE)</f>
        <v>#N/A</v>
      </c>
      <c r="L66" t="e">
        <f>VLOOKUP(A66,IC_raw!$C$2:$E$111,2,FALSE)</f>
        <v>#N/A</v>
      </c>
    </row>
    <row r="67" spans="1:12" x14ac:dyDescent="0.2">
      <c r="A67" t="s">
        <v>370</v>
      </c>
      <c r="B67" s="1">
        <f t="shared" si="5"/>
        <v>45938.96597222222</v>
      </c>
      <c r="C67" s="1">
        <f t="shared" si="6"/>
        <v>45939.21597222222</v>
      </c>
      <c r="D67">
        <v>18.670000000000002</v>
      </c>
      <c r="E67">
        <f t="shared" si="9"/>
        <v>1.986666666666667</v>
      </c>
      <c r="K67" t="e">
        <f>VLOOKUP(A67,IC_raw!$C$2:$E$111,3,FALSE)</f>
        <v>#N/A</v>
      </c>
      <c r="L67" t="e">
        <f>VLOOKUP(A67,IC_raw!$C$2:$E$111,2,FALSE)</f>
        <v>#N/A</v>
      </c>
    </row>
    <row r="68" spans="1:12" x14ac:dyDescent="0.2">
      <c r="A68" t="s">
        <v>371</v>
      </c>
      <c r="B68" s="1">
        <f t="shared" si="5"/>
        <v>45939.21597222222</v>
      </c>
      <c r="C68" s="1">
        <f t="shared" si="6"/>
        <v>45939.46597222222</v>
      </c>
      <c r="D68">
        <v>18.690000000000001</v>
      </c>
      <c r="E68">
        <f t="shared" si="9"/>
        <v>1.9900000000000002</v>
      </c>
      <c r="F68">
        <v>8.01</v>
      </c>
      <c r="G68">
        <v>573</v>
      </c>
      <c r="K68">
        <f>VLOOKUP(A68,IC_raw!$C$2:$E$111,3,FALSE)</f>
        <v>0.84</v>
      </c>
      <c r="L68">
        <f>VLOOKUP(A68,IC_raw!$C$2:$E$111,2,FALSE)</f>
        <v>1.04</v>
      </c>
    </row>
    <row r="69" spans="1:12" x14ac:dyDescent="0.2">
      <c r="A69" t="s">
        <v>372</v>
      </c>
      <c r="B69" s="1">
        <f t="shared" si="5"/>
        <v>45939.46597222222</v>
      </c>
      <c r="C69" s="1">
        <f t="shared" si="6"/>
        <v>45939.71597222222</v>
      </c>
      <c r="D69">
        <v>18.61</v>
      </c>
      <c r="E69">
        <f t="shared" si="9"/>
        <v>1.9766666666666666</v>
      </c>
      <c r="K69" t="e">
        <f>VLOOKUP(A69,IC_raw!$C$2:$E$111,3,FALSE)</f>
        <v>#N/A</v>
      </c>
      <c r="L69" t="e">
        <f>VLOOKUP(A69,IC_raw!$C$2:$E$111,2,FALSE)</f>
        <v>#N/A</v>
      </c>
    </row>
    <row r="70" spans="1:12" x14ac:dyDescent="0.2">
      <c r="A70" t="s">
        <v>373</v>
      </c>
      <c r="B70" s="1">
        <f t="shared" si="5"/>
        <v>45939.71597222222</v>
      </c>
      <c r="C70" s="1">
        <f t="shared" si="6"/>
        <v>45939.96597222222</v>
      </c>
      <c r="D70">
        <v>18.579999999999998</v>
      </c>
      <c r="E70">
        <f t="shared" si="9"/>
        <v>1.9716666666666665</v>
      </c>
      <c r="K70" t="e">
        <f>VLOOKUP(A70,IC_raw!$C$2:$E$111,3,FALSE)</f>
        <v>#N/A</v>
      </c>
      <c r="L70" t="e">
        <f>VLOOKUP(A70,IC_raw!$C$2:$E$111,2,FALSE)</f>
        <v>#N/A</v>
      </c>
    </row>
    <row r="71" spans="1:12" x14ac:dyDescent="0.2">
      <c r="A71" t="s">
        <v>374</v>
      </c>
      <c r="B71" s="1">
        <f t="shared" si="5"/>
        <v>45939.96597222222</v>
      </c>
      <c r="C71" s="1">
        <f t="shared" si="6"/>
        <v>45940.21597222222</v>
      </c>
      <c r="D71">
        <v>18.600000000000001</v>
      </c>
      <c r="E71">
        <f t="shared" si="9"/>
        <v>1.9750000000000003</v>
      </c>
      <c r="K71">
        <f>VLOOKUP(A71,IC_raw!$C$2:$E$111,3,FALSE)</f>
        <v>0.87</v>
      </c>
      <c r="L71">
        <f>VLOOKUP(A71,IC_raw!$C$2:$E$111,2,FALSE)</f>
        <v>0.99</v>
      </c>
    </row>
    <row r="72" spans="1:12" x14ac:dyDescent="0.2">
      <c r="A72" t="s">
        <v>375</v>
      </c>
      <c r="B72" s="1">
        <f t="shared" si="5"/>
        <v>45940.21597222222</v>
      </c>
      <c r="C72" s="1">
        <f t="shared" si="6"/>
        <v>45940.46597222222</v>
      </c>
      <c r="D72">
        <v>18.77</v>
      </c>
      <c r="E72">
        <f t="shared" si="9"/>
        <v>2.0033333333333334</v>
      </c>
      <c r="K72" t="e">
        <f>VLOOKUP(A72,IC_raw!$C$2:$E$111,3,FALSE)</f>
        <v>#N/A</v>
      </c>
      <c r="L72" t="e">
        <f>VLOOKUP(A72,IC_raw!$C$2:$E$111,2,FALSE)</f>
        <v>#N/A</v>
      </c>
    </row>
    <row r="73" spans="1:12" x14ac:dyDescent="0.2">
      <c r="A73" t="s">
        <v>376</v>
      </c>
      <c r="B73" s="1">
        <f t="shared" si="5"/>
        <v>45940.46597222222</v>
      </c>
      <c r="C73" s="1">
        <f t="shared" si="6"/>
        <v>45940.71597222222</v>
      </c>
      <c r="D73">
        <v>18.809999999999999</v>
      </c>
      <c r="E73">
        <f t="shared" si="9"/>
        <v>2.0099999999999998</v>
      </c>
      <c r="K73" t="e">
        <f>VLOOKUP(A73,IC_raw!$C$2:$E$111,3,FALSE)</f>
        <v>#N/A</v>
      </c>
      <c r="L73" t="e">
        <f>VLOOKUP(A73,IC_raw!$C$2:$E$111,2,FALSE)</f>
        <v>#N/A</v>
      </c>
    </row>
    <row r="74" spans="1:12" x14ac:dyDescent="0.2">
      <c r="A74" t="s">
        <v>377</v>
      </c>
      <c r="B74" s="1">
        <f t="shared" si="5"/>
        <v>45940.71597222222</v>
      </c>
      <c r="C74" s="1">
        <f t="shared" si="6"/>
        <v>45940.96597222222</v>
      </c>
      <c r="D74">
        <v>18.440000000000001</v>
      </c>
      <c r="E74">
        <f t="shared" si="9"/>
        <v>1.9483333333333335</v>
      </c>
      <c r="K74" t="e">
        <f>VLOOKUP(A74,IC_raw!$C$2:$E$111,3,FALSE)</f>
        <v>#N/A</v>
      </c>
      <c r="L74" t="e">
        <f>VLOOKUP(A74,IC_raw!$C$2:$E$111,2,FALSE)</f>
        <v>#N/A</v>
      </c>
    </row>
    <row r="75" spans="1:12" x14ac:dyDescent="0.2">
      <c r="A75" t="s">
        <v>378</v>
      </c>
      <c r="B75" s="1">
        <f t="shared" si="5"/>
        <v>45940.96597222222</v>
      </c>
      <c r="C75" s="1">
        <f t="shared" si="6"/>
        <v>45941.21597222222</v>
      </c>
      <c r="D75">
        <v>18.5</v>
      </c>
      <c r="E75">
        <f t="shared" si="9"/>
        <v>1.9583333333333333</v>
      </c>
      <c r="K75" t="e">
        <f>VLOOKUP(A75,IC_raw!$C$2:$E$111,3,FALSE)</f>
        <v>#N/A</v>
      </c>
      <c r="L75" t="e">
        <f>VLOOKUP(A75,IC_raw!$C$2:$E$111,2,FALSE)</f>
        <v>#N/A</v>
      </c>
    </row>
    <row r="76" spans="1:12" x14ac:dyDescent="0.2">
      <c r="A76" t="s">
        <v>379</v>
      </c>
      <c r="B76" s="1">
        <f t="shared" si="5"/>
        <v>45941.21597222222</v>
      </c>
      <c r="C76" s="1">
        <f t="shared" si="6"/>
        <v>45941.46597222222</v>
      </c>
      <c r="D76">
        <v>18.489999999999998</v>
      </c>
      <c r="E76">
        <f t="shared" si="9"/>
        <v>1.9566666666666663</v>
      </c>
      <c r="K76">
        <f>VLOOKUP(A76,IC_raw!$C$2:$E$111,3,FALSE)</f>
        <v>0.87</v>
      </c>
      <c r="L76">
        <f>VLOOKUP(A76,IC_raw!$C$2:$E$111,2,FALSE)</f>
        <v>1.02</v>
      </c>
    </row>
    <row r="77" spans="1:12" x14ac:dyDescent="0.2">
      <c r="A77" t="s">
        <v>380</v>
      </c>
      <c r="B77" s="1">
        <f t="shared" si="5"/>
        <v>45941.46597222222</v>
      </c>
      <c r="C77" s="1">
        <f t="shared" si="6"/>
        <v>45941.71597222222</v>
      </c>
      <c r="D77">
        <v>18.510000000000002</v>
      </c>
      <c r="E77">
        <f t="shared" si="9"/>
        <v>1.9600000000000002</v>
      </c>
      <c r="K77" t="e">
        <f>VLOOKUP(A77,IC_raw!$C$2:$E$111,3,FALSE)</f>
        <v>#N/A</v>
      </c>
      <c r="L77" t="e">
        <f>VLOOKUP(A77,IC_raw!$C$2:$E$111,2,FALSE)</f>
        <v>#N/A</v>
      </c>
    </row>
    <row r="78" spans="1:12" x14ac:dyDescent="0.2">
      <c r="A78" t="s">
        <v>381</v>
      </c>
      <c r="B78" s="1">
        <f t="shared" si="5"/>
        <v>45941.71597222222</v>
      </c>
      <c r="C78" s="1">
        <f t="shared" si="6"/>
        <v>45941.96597222222</v>
      </c>
      <c r="D78">
        <v>18.559999999999999</v>
      </c>
      <c r="E78">
        <f t="shared" si="9"/>
        <v>1.968333333333333</v>
      </c>
      <c r="K78" t="e">
        <f>VLOOKUP(A78,IC_raw!$C$2:$E$111,3,FALSE)</f>
        <v>#N/A</v>
      </c>
      <c r="L78" t="e">
        <f>VLOOKUP(A78,IC_raw!$C$2:$E$111,2,FALSE)</f>
        <v>#N/A</v>
      </c>
    </row>
    <row r="79" spans="1:12" x14ac:dyDescent="0.2">
      <c r="A79" t="s">
        <v>382</v>
      </c>
      <c r="B79" s="1">
        <f t="shared" si="5"/>
        <v>45941.96597222222</v>
      </c>
      <c r="C79" s="1">
        <f t="shared" si="6"/>
        <v>45942.21597222222</v>
      </c>
      <c r="D79">
        <v>18.579999999999998</v>
      </c>
      <c r="E79">
        <f t="shared" si="9"/>
        <v>1.9716666666666665</v>
      </c>
      <c r="K79" t="e">
        <f>VLOOKUP(A79,IC_raw!$C$2:$E$111,3,FALSE)</f>
        <v>#N/A</v>
      </c>
      <c r="L79" t="e">
        <f>VLOOKUP(A79,IC_raw!$C$2:$E$111,2,FALSE)</f>
        <v>#N/A</v>
      </c>
    </row>
    <row r="80" spans="1:12" x14ac:dyDescent="0.2">
      <c r="A80" t="s">
        <v>383</v>
      </c>
      <c r="B80" s="1">
        <f t="shared" si="5"/>
        <v>45942.21597222222</v>
      </c>
      <c r="C80" s="1">
        <f t="shared" si="6"/>
        <v>45942.46597222222</v>
      </c>
      <c r="D80">
        <v>18.579999999999998</v>
      </c>
      <c r="E80">
        <f t="shared" si="9"/>
        <v>1.9716666666666665</v>
      </c>
      <c r="K80" t="e">
        <f>VLOOKUP(A80,IC_raw!$C$2:$E$111,3,FALSE)</f>
        <v>#N/A</v>
      </c>
      <c r="L80" t="e">
        <f>VLOOKUP(A80,IC_raw!$C$2:$E$111,2,FALSE)</f>
        <v>#N/A</v>
      </c>
    </row>
    <row r="81" spans="1:12" x14ac:dyDescent="0.2">
      <c r="A81" t="s">
        <v>452</v>
      </c>
      <c r="B81" s="1">
        <f t="shared" ref="B81:B82" si="10">C80</f>
        <v>45942.46597222222</v>
      </c>
      <c r="C81" s="1">
        <f t="shared" ref="C81:C82" si="11">B81+6/24</f>
        <v>45942.71597222222</v>
      </c>
      <c r="D81">
        <v>18.57</v>
      </c>
      <c r="E81">
        <f t="shared" si="9"/>
        <v>1.97</v>
      </c>
      <c r="F81">
        <v>8.06</v>
      </c>
      <c r="G81">
        <v>569</v>
      </c>
      <c r="K81">
        <f>VLOOKUP(A81,IC_raw!$C$2:$E$111,3,FALSE)</f>
        <v>0</v>
      </c>
      <c r="L81">
        <f>VLOOKUP(A81,IC_raw!$C$2:$E$111,2,FALSE)</f>
        <v>0</v>
      </c>
    </row>
    <row r="82" spans="1:12" x14ac:dyDescent="0.2">
      <c r="A82" t="s">
        <v>453</v>
      </c>
      <c r="B82" s="1">
        <f t="shared" si="10"/>
        <v>45942.71597222222</v>
      </c>
      <c r="C82" s="1">
        <f t="shared" si="11"/>
        <v>45942.96597222222</v>
      </c>
      <c r="K82" t="e">
        <f>VLOOKUP(A82,IC_raw!$C$2:$E$111,3,FALSE)</f>
        <v>#N/A</v>
      </c>
      <c r="L82" t="e">
        <f>VLOOKUP(A82,IC_raw!$C$2:$E$111,2,FALSE)</f>
        <v>#N/A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9503-65A6-C34D-B921-DEE2820120EC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850BE-EF2F-F44E-9131-45DE0F67BB0D}">
  <dimension ref="A1:AC57"/>
  <sheetViews>
    <sheetView topLeftCell="C1" zoomScale="120" zoomScaleNormal="120" workbookViewId="0">
      <selection activeCell="L2" sqref="L2"/>
    </sheetView>
  </sheetViews>
  <sheetFormatPr baseColWidth="10" defaultRowHeight="16" x14ac:dyDescent="0.2"/>
  <cols>
    <col min="2" max="3" width="13" bestFit="1" customWidth="1"/>
    <col min="7" max="7" width="12" customWidth="1"/>
    <col min="8" max="8" width="15.33203125" bestFit="1" customWidth="1"/>
    <col min="9" max="11" width="15.33203125" customWidth="1"/>
    <col min="12" max="12" width="15.33203125" bestFit="1" customWidth="1"/>
    <col min="26" max="26" width="8" customWidth="1"/>
    <col min="27" max="27" width="10.33203125" customWidth="1"/>
    <col min="28" max="28" width="11.6640625" bestFit="1" customWidth="1"/>
  </cols>
  <sheetData>
    <row r="1" spans="1:29" x14ac:dyDescent="0.2">
      <c r="A1" t="s">
        <v>0</v>
      </c>
      <c r="B1" t="s">
        <v>437</v>
      </c>
      <c r="C1" t="s">
        <v>438</v>
      </c>
      <c r="D1" t="s">
        <v>439</v>
      </c>
      <c r="E1" t="s">
        <v>4</v>
      </c>
      <c r="F1" t="s">
        <v>164</v>
      </c>
      <c r="G1" t="s">
        <v>386</v>
      </c>
      <c r="H1" t="s">
        <v>387</v>
      </c>
      <c r="I1" t="s">
        <v>468</v>
      </c>
      <c r="J1" t="s">
        <v>5</v>
      </c>
      <c r="K1" t="s">
        <v>6</v>
      </c>
      <c r="L1" t="s">
        <v>166</v>
      </c>
      <c r="M1" t="s">
        <v>388</v>
      </c>
      <c r="R1" t="s">
        <v>167</v>
      </c>
      <c r="S1" t="s">
        <v>168</v>
      </c>
      <c r="X1" t="s">
        <v>441</v>
      </c>
      <c r="Y1" t="s">
        <v>440</v>
      </c>
      <c r="Z1" t="s">
        <v>442</v>
      </c>
      <c r="AA1" t="s">
        <v>443</v>
      </c>
      <c r="AB1" t="s">
        <v>444</v>
      </c>
      <c r="AC1" t="s">
        <v>445</v>
      </c>
    </row>
    <row r="2" spans="1:29" x14ac:dyDescent="0.2">
      <c r="A2" t="s">
        <v>389</v>
      </c>
      <c r="B2" s="1">
        <v>45942.886111111111</v>
      </c>
      <c r="C2" s="1">
        <f>B2+2/24</f>
        <v>45942.969444444447</v>
      </c>
      <c r="D2">
        <v>10.65</v>
      </c>
      <c r="E2">
        <f>(D2-6.75)/2</f>
        <v>1.9500000000000002</v>
      </c>
      <c r="F2">
        <v>-33.5</v>
      </c>
      <c r="G2">
        <f>0.0076*EXP(0.0328*-F2)</f>
        <v>2.2804280220077435E-2</v>
      </c>
      <c r="H2">
        <v>9.8800000000000008</v>
      </c>
      <c r="I2">
        <f>0.5/62*14</f>
        <v>0.11290322580645161</v>
      </c>
      <c r="R2">
        <v>2</v>
      </c>
      <c r="S2">
        <v>-166.7</v>
      </c>
      <c r="T2">
        <f>-1*S2</f>
        <v>166.7</v>
      </c>
      <c r="X2">
        <v>10</v>
      </c>
      <c r="Y2">
        <v>50</v>
      </c>
      <c r="Z2">
        <f>AA2*X2*Y2/1000</f>
        <v>51.445000000000007</v>
      </c>
      <c r="AA2">
        <v>102.89</v>
      </c>
    </row>
    <row r="3" spans="1:29" x14ac:dyDescent="0.2">
      <c r="A3" t="s">
        <v>390</v>
      </c>
      <c r="B3" s="1">
        <f>C2</f>
        <v>45942.969444444447</v>
      </c>
      <c r="C3" s="1">
        <f>B3+2/24</f>
        <v>45943.052777777782</v>
      </c>
      <c r="D3">
        <v>10.55</v>
      </c>
      <c r="E3">
        <f t="shared" ref="E3:E54" si="0">(D3-6.75)/2</f>
        <v>1.9000000000000004</v>
      </c>
      <c r="F3">
        <v>-34.299999999999997</v>
      </c>
      <c r="G3">
        <f t="shared" ref="G3:G55" si="1">0.0076*EXP(0.0328*-F3)</f>
        <v>2.3410584456427078E-2</v>
      </c>
      <c r="R3">
        <v>1</v>
      </c>
      <c r="S3">
        <v>-149.19999999999999</v>
      </c>
      <c r="T3">
        <f t="shared" ref="T3:T8" si="2">-1*S3</f>
        <v>149.19999999999999</v>
      </c>
      <c r="X3">
        <v>2</v>
      </c>
      <c r="Y3">
        <v>8</v>
      </c>
      <c r="AB3">
        <f>X3/X2*Y3</f>
        <v>1.6</v>
      </c>
      <c r="AC3">
        <f>Y3-AB3</f>
        <v>6.4</v>
      </c>
    </row>
    <row r="4" spans="1:29" x14ac:dyDescent="0.2">
      <c r="A4" t="s">
        <v>391</v>
      </c>
      <c r="B4" s="1">
        <f t="shared" ref="B4:B12" si="3">C3</f>
        <v>45943.052777777782</v>
      </c>
      <c r="C4" s="1">
        <f t="shared" ref="C4:C12" si="4">B4+2/24</f>
        <v>45943.136111111118</v>
      </c>
      <c r="D4">
        <v>10.56</v>
      </c>
      <c r="E4">
        <f t="shared" si="0"/>
        <v>1.9050000000000002</v>
      </c>
      <c r="F4">
        <v>-34.4</v>
      </c>
      <c r="G4">
        <f t="shared" si="1"/>
        <v>2.3487497241456743E-2</v>
      </c>
      <c r="R4">
        <v>0.5</v>
      </c>
      <c r="S4">
        <v>-131.19999999999999</v>
      </c>
      <c r="T4">
        <f t="shared" si="2"/>
        <v>131.19999999999999</v>
      </c>
      <c r="X4">
        <v>1</v>
      </c>
      <c r="Y4">
        <v>8</v>
      </c>
      <c r="AB4">
        <f>X4/$X$2*Y4</f>
        <v>0.8</v>
      </c>
      <c r="AC4">
        <f>Y4-AB4</f>
        <v>7.2</v>
      </c>
    </row>
    <row r="5" spans="1:29" x14ac:dyDescent="0.2">
      <c r="A5" t="s">
        <v>392</v>
      </c>
      <c r="B5" s="1">
        <f t="shared" si="3"/>
        <v>45943.136111111118</v>
      </c>
      <c r="C5" s="1">
        <f t="shared" si="4"/>
        <v>45943.219444444454</v>
      </c>
      <c r="D5">
        <v>10.64</v>
      </c>
      <c r="E5">
        <f t="shared" si="0"/>
        <v>1.9450000000000003</v>
      </c>
      <c r="F5">
        <v>-70</v>
      </c>
      <c r="G5">
        <f t="shared" si="1"/>
        <v>7.5501177132492991E-2</v>
      </c>
      <c r="R5">
        <v>0.25</v>
      </c>
      <c r="S5">
        <v>-113.3</v>
      </c>
      <c r="T5">
        <f t="shared" si="2"/>
        <v>113.3</v>
      </c>
      <c r="X5">
        <v>0.5</v>
      </c>
      <c r="Y5">
        <v>8</v>
      </c>
      <c r="AB5">
        <f t="shared" ref="AB5:AB7" si="5">X5/$X$2*Y5</f>
        <v>0.4</v>
      </c>
      <c r="AC5">
        <f t="shared" ref="AC5:AC7" si="6">Y5-AB5</f>
        <v>7.6</v>
      </c>
    </row>
    <row r="6" spans="1:29" x14ac:dyDescent="0.2">
      <c r="A6" t="s">
        <v>393</v>
      </c>
      <c r="B6" s="1">
        <f t="shared" si="3"/>
        <v>45943.219444444454</v>
      </c>
      <c r="C6" s="1">
        <f t="shared" si="4"/>
        <v>45943.30277777779</v>
      </c>
      <c r="D6">
        <v>10.61</v>
      </c>
      <c r="E6">
        <f t="shared" si="0"/>
        <v>1.9299999999999997</v>
      </c>
      <c r="F6">
        <v>-122.8</v>
      </c>
      <c r="G6">
        <f t="shared" si="1"/>
        <v>0.42666034310679996</v>
      </c>
      <c r="H6">
        <v>4.49</v>
      </c>
      <c r="I6">
        <f>0.5/62*14</f>
        <v>0.11290322580645161</v>
      </c>
      <c r="R6">
        <v>0.1</v>
      </c>
      <c r="S6">
        <v>-57.4</v>
      </c>
      <c r="T6">
        <f t="shared" si="2"/>
        <v>57.4</v>
      </c>
      <c r="X6">
        <v>0.25</v>
      </c>
      <c r="Y6">
        <v>8</v>
      </c>
      <c r="AB6">
        <f t="shared" si="5"/>
        <v>0.2</v>
      </c>
      <c r="AC6">
        <f t="shared" si="6"/>
        <v>7.8</v>
      </c>
    </row>
    <row r="7" spans="1:29" x14ac:dyDescent="0.2">
      <c r="A7" t="s">
        <v>394</v>
      </c>
      <c r="B7" s="1">
        <f t="shared" si="3"/>
        <v>45943.30277777779</v>
      </c>
      <c r="C7" s="1">
        <f t="shared" si="4"/>
        <v>45943.386111111126</v>
      </c>
      <c r="D7">
        <v>10.57</v>
      </c>
      <c r="E7">
        <f t="shared" si="0"/>
        <v>1.9100000000000001</v>
      </c>
      <c r="F7">
        <v>-136.19999999999999</v>
      </c>
      <c r="G7">
        <f t="shared" si="1"/>
        <v>0.66216068117437099</v>
      </c>
      <c r="R7">
        <v>0.05</v>
      </c>
      <c r="S7">
        <v>-42.5</v>
      </c>
      <c r="T7">
        <f t="shared" si="2"/>
        <v>42.5</v>
      </c>
      <c r="X7">
        <v>0.1</v>
      </c>
      <c r="Y7">
        <v>4</v>
      </c>
      <c r="AB7">
        <f t="shared" si="5"/>
        <v>0.04</v>
      </c>
      <c r="AC7">
        <f t="shared" si="6"/>
        <v>3.96</v>
      </c>
    </row>
    <row r="8" spans="1:29" x14ac:dyDescent="0.2">
      <c r="A8" t="s">
        <v>395</v>
      </c>
      <c r="B8" s="1">
        <f t="shared" si="3"/>
        <v>45943.386111111126</v>
      </c>
      <c r="C8" s="1">
        <f t="shared" si="4"/>
        <v>45943.469444444461</v>
      </c>
      <c r="D8">
        <v>10.63</v>
      </c>
      <c r="E8">
        <f t="shared" si="0"/>
        <v>1.9400000000000004</v>
      </c>
      <c r="F8">
        <v>-141.19999999999999</v>
      </c>
      <c r="G8">
        <f t="shared" si="1"/>
        <v>0.78016719345119157</v>
      </c>
      <c r="R8">
        <v>0.01</v>
      </c>
      <c r="S8">
        <v>-36.200000000000003</v>
      </c>
      <c r="T8">
        <f t="shared" si="2"/>
        <v>36.200000000000003</v>
      </c>
      <c r="AB8">
        <f>SUM(AB3:AB7)</f>
        <v>3.0400000000000005</v>
      </c>
    </row>
    <row r="9" spans="1:29" x14ac:dyDescent="0.2">
      <c r="A9" t="s">
        <v>396</v>
      </c>
      <c r="B9" s="1">
        <f t="shared" si="3"/>
        <v>45943.469444444461</v>
      </c>
      <c r="C9" s="1">
        <f t="shared" si="4"/>
        <v>45943.552777777797</v>
      </c>
      <c r="D9">
        <v>10.57</v>
      </c>
      <c r="E9">
        <f t="shared" si="0"/>
        <v>1.9100000000000001</v>
      </c>
      <c r="F9">
        <v>-141.6</v>
      </c>
      <c r="G9">
        <f t="shared" si="1"/>
        <v>0.79047042845623094</v>
      </c>
    </row>
    <row r="10" spans="1:29" x14ac:dyDescent="0.2">
      <c r="A10" t="s">
        <v>397</v>
      </c>
      <c r="B10" s="1">
        <f t="shared" si="3"/>
        <v>45943.552777777797</v>
      </c>
      <c r="C10" s="1">
        <f t="shared" si="4"/>
        <v>45943.636111111133</v>
      </c>
      <c r="D10">
        <v>10.58</v>
      </c>
      <c r="E10">
        <f t="shared" si="0"/>
        <v>1.915</v>
      </c>
      <c r="F10">
        <v>-142.69999999999999</v>
      </c>
      <c r="G10">
        <f t="shared" si="1"/>
        <v>0.81951134942292403</v>
      </c>
      <c r="H10">
        <v>1.78</v>
      </c>
      <c r="I10">
        <f>0.5/62*14</f>
        <v>0.11290322580645161</v>
      </c>
    </row>
    <row r="11" spans="1:29" x14ac:dyDescent="0.2">
      <c r="A11" t="s">
        <v>398</v>
      </c>
      <c r="B11" s="1">
        <f t="shared" si="3"/>
        <v>45943.636111111133</v>
      </c>
      <c r="C11" s="1">
        <f t="shared" si="4"/>
        <v>45943.719444444469</v>
      </c>
      <c r="D11">
        <v>10.71</v>
      </c>
      <c r="E11">
        <f t="shared" si="0"/>
        <v>1.9800000000000004</v>
      </c>
      <c r="F11">
        <v>-143.19999999999999</v>
      </c>
      <c r="G11">
        <f t="shared" si="1"/>
        <v>0.83306214838775894</v>
      </c>
    </row>
    <row r="12" spans="1:29" x14ac:dyDescent="0.2">
      <c r="A12" t="s">
        <v>399</v>
      </c>
      <c r="B12" s="1">
        <f t="shared" si="3"/>
        <v>45943.719444444469</v>
      </c>
      <c r="C12" s="1">
        <f t="shared" si="4"/>
        <v>45943.802777777804</v>
      </c>
      <c r="D12">
        <v>10.54</v>
      </c>
      <c r="E12">
        <f t="shared" si="0"/>
        <v>1.8949999999999996</v>
      </c>
      <c r="F12">
        <f>-143-2</f>
        <v>-145</v>
      </c>
      <c r="G12">
        <f t="shared" si="1"/>
        <v>0.88372704938254254</v>
      </c>
      <c r="H12">
        <v>1.72</v>
      </c>
      <c r="I12">
        <f>0.5/62*14</f>
        <v>0.11290322580645161</v>
      </c>
    </row>
    <row r="13" spans="1:29" x14ac:dyDescent="0.2">
      <c r="A13" t="s">
        <v>400</v>
      </c>
      <c r="B13" s="1">
        <f>C12</f>
        <v>45943.802777777804</v>
      </c>
      <c r="C13" s="1">
        <f>DATE(2025,10,13)+19.5/24 +6/24</f>
        <v>45944.0625</v>
      </c>
      <c r="D13">
        <v>17.899999999999999</v>
      </c>
      <c r="E13">
        <f>(D13-6.75)/6</f>
        <v>1.8583333333333332</v>
      </c>
      <c r="F13">
        <v>-149.30000000000001</v>
      </c>
      <c r="G13">
        <f t="shared" si="1"/>
        <v>1.0175858093682077</v>
      </c>
    </row>
    <row r="14" spans="1:29" x14ac:dyDescent="0.2">
      <c r="A14" t="s">
        <v>455</v>
      </c>
      <c r="B14" s="1">
        <f>C13</f>
        <v>45944.0625</v>
      </c>
      <c r="C14" s="1">
        <f>B14+6/24</f>
        <v>45944.3125</v>
      </c>
      <c r="D14">
        <v>18.149999999999999</v>
      </c>
      <c r="E14">
        <f>(D14-6.75)/6</f>
        <v>1.8999999999999997</v>
      </c>
    </row>
    <row r="15" spans="1:29" x14ac:dyDescent="0.2">
      <c r="A15" t="s">
        <v>456</v>
      </c>
      <c r="B15" s="1">
        <f>C14</f>
        <v>45944.3125</v>
      </c>
      <c r="C15" s="1">
        <f>B15+6/24</f>
        <v>45944.5625</v>
      </c>
      <c r="D15">
        <v>18.2</v>
      </c>
      <c r="E15">
        <f>(D15-6.75)/6</f>
        <v>1.9083333333333332</v>
      </c>
      <c r="H15">
        <v>0.871</v>
      </c>
      <c r="I15">
        <f>0.5/62*14</f>
        <v>0.11290322580645161</v>
      </c>
      <c r="J15">
        <v>8</v>
      </c>
      <c r="K15">
        <v>827</v>
      </c>
    </row>
    <row r="16" spans="1:29" x14ac:dyDescent="0.2">
      <c r="A16" t="s">
        <v>401</v>
      </c>
      <c r="B16" s="1">
        <v>45942.886111111111</v>
      </c>
      <c r="C16" s="1">
        <f>B16+2/24</f>
        <v>45942.969444444447</v>
      </c>
      <c r="D16">
        <v>10.67</v>
      </c>
      <c r="E16">
        <f t="shared" si="0"/>
        <v>1.96</v>
      </c>
      <c r="F16">
        <v>-40.6</v>
      </c>
      <c r="G16">
        <f t="shared" si="1"/>
        <v>2.8784246682358017E-2</v>
      </c>
      <c r="H16">
        <v>7.4</v>
      </c>
      <c r="I16">
        <f>0.5/62*14</f>
        <v>0.11290322580645161</v>
      </c>
    </row>
    <row r="17" spans="1:11" x14ac:dyDescent="0.2">
      <c r="A17" t="s">
        <v>402</v>
      </c>
      <c r="B17" s="1">
        <f>C16</f>
        <v>45942.969444444447</v>
      </c>
      <c r="C17" s="1">
        <f>B17+2/24</f>
        <v>45943.052777777782</v>
      </c>
      <c r="D17">
        <v>11.05</v>
      </c>
      <c r="E17">
        <f t="shared" si="0"/>
        <v>2.1500000000000004</v>
      </c>
      <c r="F17">
        <v>-40.200000000000003</v>
      </c>
      <c r="G17">
        <f t="shared" si="1"/>
        <v>2.8409063946438932E-2</v>
      </c>
    </row>
    <row r="18" spans="1:11" x14ac:dyDescent="0.2">
      <c r="A18" t="s">
        <v>403</v>
      </c>
      <c r="B18" s="1">
        <f t="shared" ref="B18:B26" si="7">C17</f>
        <v>45943.052777777782</v>
      </c>
      <c r="C18" s="1">
        <f t="shared" ref="C18:C26" si="8">B18+2/24</f>
        <v>45943.136111111118</v>
      </c>
      <c r="D18">
        <v>10.63</v>
      </c>
      <c r="E18">
        <f t="shared" si="0"/>
        <v>1.9400000000000004</v>
      </c>
      <c r="F18">
        <v>-55.4</v>
      </c>
      <c r="G18">
        <f t="shared" si="1"/>
        <v>4.6771228923828782E-2</v>
      </c>
    </row>
    <row r="19" spans="1:11" x14ac:dyDescent="0.2">
      <c r="A19" t="s">
        <v>404</v>
      </c>
      <c r="B19" s="1">
        <f t="shared" si="7"/>
        <v>45943.136111111118</v>
      </c>
      <c r="C19" s="1">
        <f t="shared" si="8"/>
        <v>45943.219444444454</v>
      </c>
      <c r="D19">
        <v>10.8</v>
      </c>
      <c r="E19">
        <f t="shared" si="0"/>
        <v>2.0250000000000004</v>
      </c>
      <c r="F19">
        <v>-104.9</v>
      </c>
      <c r="G19">
        <f t="shared" si="1"/>
        <v>0.23719159856480895</v>
      </c>
    </row>
    <row r="20" spans="1:11" x14ac:dyDescent="0.2">
      <c r="A20" t="s">
        <v>405</v>
      </c>
      <c r="B20" s="1">
        <f t="shared" si="7"/>
        <v>45943.219444444454</v>
      </c>
      <c r="C20" s="1">
        <f t="shared" si="8"/>
        <v>45943.30277777779</v>
      </c>
      <c r="D20">
        <v>10.66</v>
      </c>
      <c r="E20">
        <f t="shared" si="0"/>
        <v>1.9550000000000001</v>
      </c>
      <c r="F20">
        <v>-131.4</v>
      </c>
      <c r="G20">
        <f t="shared" si="1"/>
        <v>0.56570245793969465</v>
      </c>
      <c r="H20">
        <v>2.3199999999999998</v>
      </c>
      <c r="I20">
        <f>0.5/62*14</f>
        <v>0.11290322580645161</v>
      </c>
    </row>
    <row r="21" spans="1:11" x14ac:dyDescent="0.2">
      <c r="A21" t="s">
        <v>406</v>
      </c>
      <c r="B21" s="1">
        <f t="shared" si="7"/>
        <v>45943.30277777779</v>
      </c>
      <c r="C21" s="1">
        <f t="shared" si="8"/>
        <v>45943.386111111126</v>
      </c>
      <c r="D21">
        <v>10.83</v>
      </c>
      <c r="E21">
        <f t="shared" si="0"/>
        <v>2.04</v>
      </c>
      <c r="F21">
        <v>-136.69999999999999</v>
      </c>
      <c r="G21">
        <f t="shared" si="1"/>
        <v>0.67310965250872823</v>
      </c>
    </row>
    <row r="22" spans="1:11" x14ac:dyDescent="0.2">
      <c r="A22" t="s">
        <v>407</v>
      </c>
      <c r="B22" s="1">
        <f t="shared" si="7"/>
        <v>45943.386111111126</v>
      </c>
      <c r="C22" s="1">
        <f t="shared" si="8"/>
        <v>45943.469444444461</v>
      </c>
      <c r="D22">
        <v>10.88</v>
      </c>
      <c r="E22">
        <f t="shared" si="0"/>
        <v>2.0650000000000004</v>
      </c>
      <c r="F22">
        <v>-141.6</v>
      </c>
      <c r="G22">
        <f t="shared" si="1"/>
        <v>0.79047042845623094</v>
      </c>
    </row>
    <row r="23" spans="1:11" x14ac:dyDescent="0.2">
      <c r="A23" t="s">
        <v>408</v>
      </c>
      <c r="B23" s="1">
        <f t="shared" si="7"/>
        <v>45943.469444444461</v>
      </c>
      <c r="C23" s="1">
        <f t="shared" si="8"/>
        <v>45943.552777777797</v>
      </c>
      <c r="D23">
        <v>10.63</v>
      </c>
      <c r="E23">
        <f t="shared" si="0"/>
        <v>1.9400000000000004</v>
      </c>
      <c r="F23">
        <v>-143.80000000000001</v>
      </c>
      <c r="G23">
        <f t="shared" si="1"/>
        <v>0.84961919846210943</v>
      </c>
    </row>
    <row r="24" spans="1:11" x14ac:dyDescent="0.2">
      <c r="A24" t="s">
        <v>409</v>
      </c>
      <c r="B24" s="1">
        <f t="shared" si="7"/>
        <v>45943.552777777797</v>
      </c>
      <c r="C24" s="1">
        <f t="shared" si="8"/>
        <v>45943.636111111133</v>
      </c>
      <c r="D24">
        <v>9.5</v>
      </c>
      <c r="E24">
        <f t="shared" si="0"/>
        <v>1.375</v>
      </c>
      <c r="F24">
        <v>-145.80000000000001</v>
      </c>
      <c r="G24">
        <f t="shared" si="1"/>
        <v>0.90722296544068992</v>
      </c>
      <c r="H24">
        <v>0.86799999999999999</v>
      </c>
      <c r="I24">
        <f>0.5/62*14</f>
        <v>0.11290322580645161</v>
      </c>
    </row>
    <row r="25" spans="1:11" x14ac:dyDescent="0.2">
      <c r="A25" t="s">
        <v>410</v>
      </c>
      <c r="B25" s="1">
        <f t="shared" si="7"/>
        <v>45943.636111111133</v>
      </c>
      <c r="C25" s="1">
        <f t="shared" si="8"/>
        <v>45943.719444444469</v>
      </c>
      <c r="D25">
        <v>11.24</v>
      </c>
      <c r="E25">
        <f t="shared" si="0"/>
        <v>2.2450000000000001</v>
      </c>
      <c r="F25">
        <v>-145.69999999999999</v>
      </c>
      <c r="G25">
        <f t="shared" si="1"/>
        <v>0.90425214891657868</v>
      </c>
    </row>
    <row r="26" spans="1:11" x14ac:dyDescent="0.2">
      <c r="A26" t="s">
        <v>411</v>
      </c>
      <c r="B26" s="1">
        <f t="shared" si="7"/>
        <v>45943.719444444469</v>
      </c>
      <c r="C26" s="1">
        <f t="shared" si="8"/>
        <v>45943.802777777804</v>
      </c>
      <c r="D26">
        <v>10.76</v>
      </c>
      <c r="E26">
        <f t="shared" si="0"/>
        <v>2.0049999999999999</v>
      </c>
      <c r="F26">
        <v>-144.19999999999999</v>
      </c>
      <c r="G26">
        <f t="shared" si="1"/>
        <v>0.86083964754023978</v>
      </c>
      <c r="H26">
        <v>0.39200000000000002</v>
      </c>
      <c r="I26">
        <f>0.5/62*14</f>
        <v>0.11290322580645161</v>
      </c>
    </row>
    <row r="27" spans="1:11" x14ac:dyDescent="0.2">
      <c r="A27" t="s">
        <v>412</v>
      </c>
      <c r="B27" s="1">
        <f>C26</f>
        <v>45943.802777777804</v>
      </c>
      <c r="C27" s="1">
        <f>DATE(2025,10,13)+19.5/24 +6/24</f>
        <v>45944.0625</v>
      </c>
      <c r="D27">
        <v>18.940000000000001</v>
      </c>
      <c r="E27">
        <f>(D27-6.75)/6</f>
        <v>2.0316666666666667</v>
      </c>
      <c r="F27">
        <v>-145.1</v>
      </c>
      <c r="G27">
        <f t="shared" si="1"/>
        <v>0.88663043305075351</v>
      </c>
    </row>
    <row r="28" spans="1:11" x14ac:dyDescent="0.2">
      <c r="A28" t="s">
        <v>457</v>
      </c>
      <c r="B28" s="1">
        <f>C27</f>
        <v>45944.0625</v>
      </c>
      <c r="C28" s="1">
        <f>B28+6/24</f>
        <v>45944.3125</v>
      </c>
      <c r="D28">
        <v>18.850000000000001</v>
      </c>
      <c r="E28">
        <f>(D28-6.75)/6</f>
        <v>2.0166666666666671</v>
      </c>
    </row>
    <row r="29" spans="1:11" x14ac:dyDescent="0.2">
      <c r="A29" t="s">
        <v>458</v>
      </c>
      <c r="B29" s="1">
        <f>C28</f>
        <v>45944.3125</v>
      </c>
      <c r="C29" s="1">
        <f>B29+6/24</f>
        <v>45944.5625</v>
      </c>
      <c r="D29">
        <v>18.78</v>
      </c>
      <c r="E29">
        <f>(D29-6.75)/6</f>
        <v>2.0050000000000003</v>
      </c>
      <c r="H29">
        <v>0.254</v>
      </c>
      <c r="I29">
        <f>0.5/62*14</f>
        <v>0.11290322580645161</v>
      </c>
      <c r="J29">
        <v>8.1</v>
      </c>
      <c r="K29">
        <v>828</v>
      </c>
    </row>
    <row r="30" spans="1:11" x14ac:dyDescent="0.2">
      <c r="A30" t="s">
        <v>413</v>
      </c>
      <c r="B30" s="1">
        <v>45942.886111111111</v>
      </c>
      <c r="C30" s="1">
        <f>B30+2/24</f>
        <v>45942.969444444447</v>
      </c>
      <c r="D30">
        <v>10.81</v>
      </c>
      <c r="E30">
        <f t="shared" si="0"/>
        <v>2.0300000000000002</v>
      </c>
      <c r="F30">
        <v>-43.4</v>
      </c>
      <c r="G30">
        <f t="shared" si="1"/>
        <v>3.1552986610876278E-2</v>
      </c>
      <c r="H30">
        <v>8.42</v>
      </c>
      <c r="I30">
        <f>0.5/62*14</f>
        <v>0.11290322580645161</v>
      </c>
    </row>
    <row r="31" spans="1:11" x14ac:dyDescent="0.2">
      <c r="A31" t="s">
        <v>414</v>
      </c>
      <c r="B31" s="1">
        <f>C30</f>
        <v>45942.969444444447</v>
      </c>
      <c r="C31" s="1">
        <f>B31+2/24</f>
        <v>45943.052777777782</v>
      </c>
      <c r="D31">
        <v>10.67</v>
      </c>
      <c r="E31">
        <f t="shared" si="0"/>
        <v>1.96</v>
      </c>
      <c r="F31">
        <v>-46.9</v>
      </c>
      <c r="G31">
        <f t="shared" si="1"/>
        <v>3.5391378571216117E-2</v>
      </c>
    </row>
    <row r="32" spans="1:11" x14ac:dyDescent="0.2">
      <c r="A32" t="s">
        <v>415</v>
      </c>
      <c r="B32" s="1">
        <f t="shared" ref="B32:B40" si="9">C31</f>
        <v>45943.052777777782</v>
      </c>
      <c r="C32" s="1">
        <f t="shared" ref="C32:C40" si="10">B32+2/24</f>
        <v>45943.136111111118</v>
      </c>
      <c r="D32">
        <v>10.8</v>
      </c>
      <c r="E32">
        <f t="shared" si="0"/>
        <v>2.0250000000000004</v>
      </c>
      <c r="F32">
        <v>-59.9</v>
      </c>
      <c r="G32">
        <f t="shared" si="1"/>
        <v>5.4210154716647078E-2</v>
      </c>
    </row>
    <row r="33" spans="1:11" x14ac:dyDescent="0.2">
      <c r="A33" t="s">
        <v>416</v>
      </c>
      <c r="B33" s="1">
        <f t="shared" si="9"/>
        <v>45943.136111111118</v>
      </c>
      <c r="C33" s="1">
        <f t="shared" si="10"/>
        <v>45943.219444444454</v>
      </c>
      <c r="D33">
        <v>10.83</v>
      </c>
      <c r="E33">
        <f t="shared" si="0"/>
        <v>2.04</v>
      </c>
      <c r="F33">
        <v>-107.7</v>
      </c>
      <c r="G33">
        <f t="shared" si="1"/>
        <v>0.26000692032405337</v>
      </c>
    </row>
    <row r="34" spans="1:11" x14ac:dyDescent="0.2">
      <c r="A34" t="s">
        <v>417</v>
      </c>
      <c r="B34" s="1">
        <f t="shared" si="9"/>
        <v>45943.219444444454</v>
      </c>
      <c r="C34" s="1">
        <f t="shared" si="10"/>
        <v>45943.30277777779</v>
      </c>
      <c r="D34">
        <v>10.78</v>
      </c>
      <c r="E34">
        <f t="shared" si="0"/>
        <v>2.0149999999999997</v>
      </c>
      <c r="F34">
        <v>-133.6</v>
      </c>
      <c r="G34">
        <f t="shared" si="1"/>
        <v>0.60803244698404435</v>
      </c>
      <c r="H34">
        <v>1.79</v>
      </c>
      <c r="I34">
        <f>0.5/62*14</f>
        <v>0.11290322580645161</v>
      </c>
    </row>
    <row r="35" spans="1:11" x14ac:dyDescent="0.2">
      <c r="A35" t="s">
        <v>418</v>
      </c>
      <c r="B35" s="1">
        <f t="shared" si="9"/>
        <v>45943.30277777779</v>
      </c>
      <c r="C35" s="1">
        <f t="shared" si="10"/>
        <v>45943.386111111126</v>
      </c>
      <c r="D35">
        <v>10.66</v>
      </c>
      <c r="E35">
        <f t="shared" si="0"/>
        <v>1.9550000000000001</v>
      </c>
      <c r="F35">
        <v>-139.1</v>
      </c>
      <c r="G35">
        <f t="shared" si="1"/>
        <v>0.72823823991541325</v>
      </c>
    </row>
    <row r="36" spans="1:11" x14ac:dyDescent="0.2">
      <c r="A36" t="s">
        <v>419</v>
      </c>
      <c r="B36" s="1">
        <f t="shared" si="9"/>
        <v>45943.386111111126</v>
      </c>
      <c r="C36" s="1">
        <f t="shared" si="10"/>
        <v>45943.469444444461</v>
      </c>
      <c r="D36">
        <v>10.83</v>
      </c>
      <c r="E36">
        <f t="shared" si="0"/>
        <v>2.04</v>
      </c>
      <c r="F36">
        <v>-141.6</v>
      </c>
      <c r="G36">
        <f t="shared" si="1"/>
        <v>0.79047042845623094</v>
      </c>
    </row>
    <row r="37" spans="1:11" x14ac:dyDescent="0.2">
      <c r="A37" t="s">
        <v>420</v>
      </c>
      <c r="B37" s="1">
        <f t="shared" si="9"/>
        <v>45943.469444444461</v>
      </c>
      <c r="C37" s="1">
        <f t="shared" si="10"/>
        <v>45943.552777777797</v>
      </c>
      <c r="D37">
        <v>10.67</v>
      </c>
      <c r="E37">
        <f t="shared" si="0"/>
        <v>1.96</v>
      </c>
      <c r="F37">
        <v>-144.1</v>
      </c>
      <c r="G37">
        <f t="shared" si="1"/>
        <v>0.85802071906626864</v>
      </c>
    </row>
    <row r="38" spans="1:11" x14ac:dyDescent="0.2">
      <c r="A38" t="s">
        <v>421</v>
      </c>
      <c r="B38" s="1">
        <f t="shared" si="9"/>
        <v>45943.552777777797</v>
      </c>
      <c r="C38" s="1">
        <f t="shared" si="10"/>
        <v>45943.636111111133</v>
      </c>
      <c r="D38">
        <v>10.7</v>
      </c>
      <c r="E38">
        <f t="shared" si="0"/>
        <v>1.9749999999999996</v>
      </c>
      <c r="F38">
        <v>-146.5</v>
      </c>
      <c r="G38">
        <f t="shared" si="1"/>
        <v>0.92829377195073626</v>
      </c>
      <c r="H38">
        <v>1.47</v>
      </c>
      <c r="I38">
        <f>0.5/62*14</f>
        <v>0.11290322580645161</v>
      </c>
    </row>
    <row r="39" spans="1:11" x14ac:dyDescent="0.2">
      <c r="A39" t="s">
        <v>422</v>
      </c>
      <c r="B39" s="1">
        <f t="shared" si="9"/>
        <v>45943.636111111133</v>
      </c>
      <c r="C39" s="1">
        <f t="shared" si="10"/>
        <v>45943.719444444469</v>
      </c>
      <c r="D39">
        <v>9.98</v>
      </c>
      <c r="E39">
        <f t="shared" si="0"/>
        <v>1.6150000000000002</v>
      </c>
      <c r="F39">
        <v>-146</v>
      </c>
      <c r="G39">
        <f t="shared" si="1"/>
        <v>0.91319391138408179</v>
      </c>
    </row>
    <row r="40" spans="1:11" x14ac:dyDescent="0.2">
      <c r="A40" t="s">
        <v>423</v>
      </c>
      <c r="B40" s="1">
        <f t="shared" si="9"/>
        <v>45943.719444444469</v>
      </c>
      <c r="C40" s="1">
        <f t="shared" si="10"/>
        <v>45943.802777777804</v>
      </c>
      <c r="D40">
        <v>10.95</v>
      </c>
      <c r="E40">
        <f t="shared" si="0"/>
        <v>2.0999999999999996</v>
      </c>
      <c r="F40">
        <v>-144.5</v>
      </c>
      <c r="G40">
        <f t="shared" si="1"/>
        <v>0.86935212236281723</v>
      </c>
      <c r="H40">
        <v>1.36</v>
      </c>
      <c r="I40">
        <f>0.5/62*14</f>
        <v>0.11290322580645161</v>
      </c>
    </row>
    <row r="41" spans="1:11" x14ac:dyDescent="0.2">
      <c r="A41" t="s">
        <v>424</v>
      </c>
      <c r="B41" s="1">
        <f>C40</f>
        <v>45943.802777777804</v>
      </c>
      <c r="C41" s="1">
        <f>DATE(2025,10,13)+19.5/24 +6/24</f>
        <v>45944.0625</v>
      </c>
      <c r="D41">
        <v>19.22</v>
      </c>
      <c r="E41">
        <f>(D41-6.75)/6</f>
        <v>2.0783333333333331</v>
      </c>
      <c r="F41">
        <v>-146.19999999999999</v>
      </c>
      <c r="G41">
        <f t="shared" si="1"/>
        <v>0.91920415548990675</v>
      </c>
    </row>
    <row r="42" spans="1:11" x14ac:dyDescent="0.2">
      <c r="A42" t="s">
        <v>459</v>
      </c>
      <c r="B42" s="1">
        <f>C41</f>
        <v>45944.0625</v>
      </c>
      <c r="C42" s="1">
        <f>B42+6/24</f>
        <v>45944.3125</v>
      </c>
      <c r="D42">
        <v>18.809999999999999</v>
      </c>
      <c r="E42">
        <f>(D42-6.75)/6</f>
        <v>2.0099999999999998</v>
      </c>
    </row>
    <row r="43" spans="1:11" x14ac:dyDescent="0.2">
      <c r="A43" t="s">
        <v>460</v>
      </c>
      <c r="B43" s="1">
        <f>C42</f>
        <v>45944.3125</v>
      </c>
      <c r="C43" s="1">
        <f>B43+6/24</f>
        <v>45944.5625</v>
      </c>
      <c r="D43">
        <v>18.75</v>
      </c>
      <c r="E43">
        <f>(D43-6.75)/6</f>
        <v>2</v>
      </c>
      <c r="H43">
        <v>0.42</v>
      </c>
      <c r="I43">
        <f>0.5/62*14</f>
        <v>0.11290322580645161</v>
      </c>
      <c r="J43">
        <v>8.1199999999999992</v>
      </c>
      <c r="K43">
        <v>817</v>
      </c>
    </row>
    <row r="44" spans="1:11" x14ac:dyDescent="0.2">
      <c r="A44" t="s">
        <v>425</v>
      </c>
      <c r="B44" s="1">
        <v>45942.886111111111</v>
      </c>
      <c r="C44" s="1">
        <f>B44+2/24</f>
        <v>45942.969444444447</v>
      </c>
      <c r="D44">
        <v>10.64</v>
      </c>
      <c r="E44">
        <f t="shared" si="0"/>
        <v>1.9450000000000003</v>
      </c>
      <c r="G44">
        <f t="shared" si="1"/>
        <v>7.6E-3</v>
      </c>
    </row>
    <row r="45" spans="1:11" x14ac:dyDescent="0.2">
      <c r="A45" t="s">
        <v>426</v>
      </c>
      <c r="B45" s="1">
        <f>C44</f>
        <v>45942.969444444447</v>
      </c>
      <c r="C45" s="1">
        <f>B45+2/24</f>
        <v>45943.052777777782</v>
      </c>
      <c r="D45">
        <v>10.68</v>
      </c>
      <c r="E45">
        <f t="shared" si="0"/>
        <v>1.9649999999999999</v>
      </c>
      <c r="G45">
        <f t="shared" si="1"/>
        <v>7.6E-3</v>
      </c>
    </row>
    <row r="46" spans="1:11" x14ac:dyDescent="0.2">
      <c r="A46" t="s">
        <v>427</v>
      </c>
      <c r="B46" s="1">
        <f t="shared" ref="B46:B54" si="11">C45</f>
        <v>45943.052777777782</v>
      </c>
      <c r="C46" s="1">
        <f t="shared" ref="C46:C54" si="12">B46+2/24</f>
        <v>45943.136111111118</v>
      </c>
      <c r="D46">
        <v>10.68</v>
      </c>
      <c r="E46">
        <f t="shared" si="0"/>
        <v>1.9649999999999999</v>
      </c>
      <c r="G46">
        <f t="shared" si="1"/>
        <v>7.6E-3</v>
      </c>
    </row>
    <row r="47" spans="1:11" x14ac:dyDescent="0.2">
      <c r="A47" t="s">
        <v>428</v>
      </c>
      <c r="B47" s="1">
        <f t="shared" si="11"/>
        <v>45943.136111111118</v>
      </c>
      <c r="C47" s="1">
        <f t="shared" si="12"/>
        <v>45943.219444444454</v>
      </c>
      <c r="D47">
        <v>10.76</v>
      </c>
      <c r="E47">
        <f t="shared" si="0"/>
        <v>2.0049999999999999</v>
      </c>
      <c r="G47">
        <f t="shared" si="1"/>
        <v>7.6E-3</v>
      </c>
    </row>
    <row r="48" spans="1:11" x14ac:dyDescent="0.2">
      <c r="A48" t="s">
        <v>429</v>
      </c>
      <c r="B48" s="1">
        <f t="shared" si="11"/>
        <v>45943.219444444454</v>
      </c>
      <c r="C48" s="1">
        <f t="shared" si="12"/>
        <v>45943.30277777779</v>
      </c>
      <c r="D48">
        <v>10.67</v>
      </c>
      <c r="E48">
        <f t="shared" si="0"/>
        <v>1.96</v>
      </c>
      <c r="G48">
        <f t="shared" si="1"/>
        <v>7.6E-3</v>
      </c>
    </row>
    <row r="49" spans="1:11" x14ac:dyDescent="0.2">
      <c r="A49" t="s">
        <v>430</v>
      </c>
      <c r="B49" s="1">
        <f t="shared" si="11"/>
        <v>45943.30277777779</v>
      </c>
      <c r="C49" s="1">
        <f t="shared" si="12"/>
        <v>45943.386111111126</v>
      </c>
      <c r="D49">
        <v>10.66</v>
      </c>
      <c r="E49">
        <f t="shared" si="0"/>
        <v>1.9550000000000001</v>
      </c>
      <c r="G49">
        <f t="shared" si="1"/>
        <v>7.6E-3</v>
      </c>
    </row>
    <row r="50" spans="1:11" x14ac:dyDescent="0.2">
      <c r="A50" t="s">
        <v>431</v>
      </c>
      <c r="B50" s="1">
        <f t="shared" si="11"/>
        <v>45943.386111111126</v>
      </c>
      <c r="C50" s="1">
        <f t="shared" si="12"/>
        <v>45943.469444444461</v>
      </c>
      <c r="D50">
        <v>10.73</v>
      </c>
      <c r="E50">
        <f t="shared" si="0"/>
        <v>1.9900000000000002</v>
      </c>
      <c r="G50">
        <f t="shared" si="1"/>
        <v>7.6E-3</v>
      </c>
    </row>
    <row r="51" spans="1:11" x14ac:dyDescent="0.2">
      <c r="A51" t="s">
        <v>432</v>
      </c>
      <c r="B51" s="1">
        <f t="shared" si="11"/>
        <v>45943.469444444461</v>
      </c>
      <c r="C51" s="1">
        <f t="shared" si="12"/>
        <v>45943.552777777797</v>
      </c>
      <c r="D51">
        <v>10.64</v>
      </c>
      <c r="E51">
        <f t="shared" si="0"/>
        <v>1.9450000000000003</v>
      </c>
      <c r="G51">
        <f t="shared" si="1"/>
        <v>7.6E-3</v>
      </c>
    </row>
    <row r="52" spans="1:11" x14ac:dyDescent="0.2">
      <c r="A52" t="s">
        <v>433</v>
      </c>
      <c r="B52" s="1">
        <f t="shared" si="11"/>
        <v>45943.552777777797</v>
      </c>
      <c r="C52" s="1">
        <f t="shared" si="12"/>
        <v>45943.636111111133</v>
      </c>
      <c r="D52">
        <v>10.71</v>
      </c>
      <c r="E52">
        <f t="shared" si="0"/>
        <v>1.9800000000000004</v>
      </c>
      <c r="G52">
        <f t="shared" si="1"/>
        <v>7.6E-3</v>
      </c>
    </row>
    <row r="53" spans="1:11" x14ac:dyDescent="0.2">
      <c r="A53" t="s">
        <v>434</v>
      </c>
      <c r="B53" s="1">
        <f t="shared" si="11"/>
        <v>45943.636111111133</v>
      </c>
      <c r="C53" s="1">
        <f t="shared" si="12"/>
        <v>45943.719444444469</v>
      </c>
      <c r="D53">
        <v>10.69</v>
      </c>
      <c r="E53">
        <f t="shared" si="0"/>
        <v>1.9699999999999998</v>
      </c>
      <c r="G53">
        <f t="shared" si="1"/>
        <v>7.6E-3</v>
      </c>
    </row>
    <row r="54" spans="1:11" x14ac:dyDescent="0.2">
      <c r="A54" t="s">
        <v>435</v>
      </c>
      <c r="B54" s="1">
        <f t="shared" si="11"/>
        <v>45943.719444444469</v>
      </c>
      <c r="C54" s="1">
        <f t="shared" si="12"/>
        <v>45943.802777777804</v>
      </c>
      <c r="D54">
        <v>10.66</v>
      </c>
      <c r="E54">
        <f t="shared" si="0"/>
        <v>1.9550000000000001</v>
      </c>
      <c r="G54">
        <f t="shared" si="1"/>
        <v>7.6E-3</v>
      </c>
    </row>
    <row r="55" spans="1:11" x14ac:dyDescent="0.2">
      <c r="A55" t="s">
        <v>436</v>
      </c>
      <c r="B55" s="1">
        <f>C54</f>
        <v>45943.802777777804</v>
      </c>
      <c r="C55" s="1">
        <f>DATE(2025,10,13)+19.5/24 +6/24</f>
        <v>45944.0625</v>
      </c>
      <c r="D55">
        <v>18.96</v>
      </c>
      <c r="E55">
        <f>(D55-6.75)/6</f>
        <v>2.0350000000000001</v>
      </c>
      <c r="G55">
        <f t="shared" si="1"/>
        <v>7.6E-3</v>
      </c>
    </row>
    <row r="56" spans="1:11" x14ac:dyDescent="0.2">
      <c r="A56" t="s">
        <v>461</v>
      </c>
      <c r="B56" s="1">
        <f>C55</f>
        <v>45944.0625</v>
      </c>
      <c r="C56" s="1">
        <f>B56+6/24</f>
        <v>45944.3125</v>
      </c>
    </row>
    <row r="57" spans="1:11" x14ac:dyDescent="0.2">
      <c r="A57" t="s">
        <v>462</v>
      </c>
      <c r="B57" s="1">
        <f>C56</f>
        <v>45944.3125</v>
      </c>
      <c r="C57" s="1">
        <f>B57+6/24</f>
        <v>45944.5625</v>
      </c>
      <c r="D57">
        <v>18.559999999999999</v>
      </c>
      <c r="E57">
        <f>(D57-6.75)/6</f>
        <v>1.968333333333333</v>
      </c>
      <c r="J57">
        <v>7.87</v>
      </c>
      <c r="K57">
        <v>605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AE47-36C1-4E4A-B6A1-36A1EEEF94CD}">
  <dimension ref="A1:AC61"/>
  <sheetViews>
    <sheetView zoomScale="120" zoomScaleNormal="120" workbookViewId="0">
      <selection activeCell="M3" sqref="M3"/>
    </sheetView>
  </sheetViews>
  <sheetFormatPr baseColWidth="10" defaultRowHeight="16" x14ac:dyDescent="0.2"/>
  <cols>
    <col min="2" max="3" width="13" bestFit="1" customWidth="1"/>
    <col min="7" max="7" width="12" customWidth="1"/>
    <col min="8" max="8" width="15.33203125" bestFit="1" customWidth="1"/>
    <col min="9" max="11" width="15.33203125" customWidth="1"/>
    <col min="12" max="12" width="15.33203125" bestFit="1" customWidth="1"/>
    <col min="26" max="26" width="8" customWidth="1"/>
    <col min="27" max="27" width="10.33203125" customWidth="1"/>
    <col min="28" max="28" width="11.6640625" bestFit="1" customWidth="1"/>
  </cols>
  <sheetData>
    <row r="1" spans="1:29" x14ac:dyDescent="0.2">
      <c r="A1" t="s">
        <v>0</v>
      </c>
      <c r="B1" t="s">
        <v>437</v>
      </c>
      <c r="C1" t="s">
        <v>438</v>
      </c>
      <c r="D1" t="s">
        <v>439</v>
      </c>
      <c r="E1" t="s">
        <v>4</v>
      </c>
      <c r="F1" t="s">
        <v>164</v>
      </c>
      <c r="G1" t="s">
        <v>386</v>
      </c>
      <c r="H1" t="s">
        <v>387</v>
      </c>
      <c r="I1" t="s">
        <v>468</v>
      </c>
      <c r="J1" t="s">
        <v>5</v>
      </c>
      <c r="K1" t="s">
        <v>6</v>
      </c>
      <c r="L1" t="s">
        <v>46</v>
      </c>
      <c r="M1" t="s">
        <v>388</v>
      </c>
      <c r="R1" t="s">
        <v>167</v>
      </c>
      <c r="S1" t="s">
        <v>168</v>
      </c>
      <c r="X1" t="s">
        <v>441</v>
      </c>
      <c r="Y1" t="s">
        <v>440</v>
      </c>
      <c r="Z1" t="s">
        <v>442</v>
      </c>
      <c r="AA1" t="s">
        <v>443</v>
      </c>
      <c r="AB1" t="s">
        <v>444</v>
      </c>
      <c r="AC1" t="s">
        <v>445</v>
      </c>
    </row>
    <row r="2" spans="1:29" x14ac:dyDescent="0.2">
      <c r="A2" t="s">
        <v>389</v>
      </c>
      <c r="B2" s="1">
        <v>45942.886111111111</v>
      </c>
      <c r="C2" s="1">
        <f>B2+2/24</f>
        <v>45942.969444444447</v>
      </c>
      <c r="D2">
        <v>10.65</v>
      </c>
      <c r="E2">
        <f>(D2-6.75)/2</f>
        <v>1.9500000000000002</v>
      </c>
      <c r="H2">
        <v>9.8800000000000008</v>
      </c>
      <c r="I2">
        <f>0.5/62*14</f>
        <v>0.11290322580645161</v>
      </c>
      <c r="L2" t="e">
        <f>VLOOKUP(A2,IC_raw!$C$2:$E$111,2,FALSE)</f>
        <v>#N/A</v>
      </c>
      <c r="R2">
        <v>2</v>
      </c>
      <c r="S2">
        <v>-161.30000000000001</v>
      </c>
      <c r="T2">
        <f>-1*S2</f>
        <v>161.30000000000001</v>
      </c>
      <c r="X2">
        <v>10</v>
      </c>
      <c r="Y2">
        <v>50</v>
      </c>
      <c r="Z2">
        <f>AA2*X2*Y2/1000</f>
        <v>51.445000000000007</v>
      </c>
      <c r="AA2">
        <v>102.89</v>
      </c>
    </row>
    <row r="3" spans="1:29" x14ac:dyDescent="0.2">
      <c r="A3" t="s">
        <v>390</v>
      </c>
      <c r="B3" s="1">
        <f>C2</f>
        <v>45942.969444444447</v>
      </c>
      <c r="C3" s="1">
        <f>B3+2/24</f>
        <v>45943.052777777782</v>
      </c>
      <c r="D3">
        <v>10.55</v>
      </c>
      <c r="E3">
        <f t="shared" ref="E3:E57" si="0">(D3-6.75)/2</f>
        <v>1.9000000000000004</v>
      </c>
      <c r="L3">
        <f>VLOOKUP(A3,IC_raw!$C$2:$E$111,2,FALSE)</f>
        <v>0</v>
      </c>
      <c r="R3">
        <v>1</v>
      </c>
      <c r="S3">
        <v>-143.6</v>
      </c>
      <c r="T3">
        <f t="shared" ref="T3:T8" si="1">-1*S3</f>
        <v>143.6</v>
      </c>
      <c r="X3">
        <v>2</v>
      </c>
      <c r="Y3">
        <v>8</v>
      </c>
      <c r="AB3">
        <f>X3/X2*Y3</f>
        <v>1.6</v>
      </c>
      <c r="AC3">
        <f>Y3-AB3</f>
        <v>6.4</v>
      </c>
    </row>
    <row r="4" spans="1:29" x14ac:dyDescent="0.2">
      <c r="A4" t="s">
        <v>391</v>
      </c>
      <c r="B4" s="1">
        <f t="shared" ref="B4:B12" si="2">C3</f>
        <v>45943.052777777782</v>
      </c>
      <c r="C4" s="1">
        <f t="shared" ref="C4:C12" si="3">B4+2/24</f>
        <v>45943.136111111118</v>
      </c>
      <c r="D4">
        <v>10.56</v>
      </c>
      <c r="E4">
        <f t="shared" si="0"/>
        <v>1.9050000000000002</v>
      </c>
      <c r="F4">
        <v>-53</v>
      </c>
      <c r="G4">
        <f>0.0074*EXP(0.0341*-F4)</f>
        <v>4.5095388927673813E-2</v>
      </c>
      <c r="L4" t="e">
        <f>VLOOKUP(A4,IC_raw!$C$2:$E$111,2,FALSE)</f>
        <v>#N/A</v>
      </c>
      <c r="R4">
        <v>0.5</v>
      </c>
      <c r="S4">
        <v>-125.2</v>
      </c>
      <c r="T4">
        <f t="shared" si="1"/>
        <v>125.2</v>
      </c>
      <c r="X4">
        <v>1</v>
      </c>
      <c r="Y4">
        <v>8</v>
      </c>
      <c r="AB4">
        <f>X4/$X$2*Y4</f>
        <v>0.8</v>
      </c>
      <c r="AC4">
        <f>Y4-AB4</f>
        <v>7.2</v>
      </c>
    </row>
    <row r="5" spans="1:29" x14ac:dyDescent="0.2">
      <c r="A5" t="s">
        <v>392</v>
      </c>
      <c r="B5" s="1">
        <f t="shared" si="2"/>
        <v>45943.136111111118</v>
      </c>
      <c r="C5" s="1">
        <f t="shared" si="3"/>
        <v>45943.219444444454</v>
      </c>
      <c r="D5">
        <v>10.64</v>
      </c>
      <c r="E5">
        <f t="shared" si="0"/>
        <v>1.9450000000000003</v>
      </c>
      <c r="F5">
        <v>-76.400000000000006</v>
      </c>
      <c r="G5">
        <f>0.0074*EXP(0.0341*-F5)</f>
        <v>0.10015510158047575</v>
      </c>
      <c r="L5" t="e">
        <f>VLOOKUP(A5,IC_raw!$C$2:$E$111,2,FALSE)</f>
        <v>#N/A</v>
      </c>
      <c r="R5">
        <v>0.25</v>
      </c>
      <c r="S5">
        <v>-106.5</v>
      </c>
      <c r="T5">
        <f t="shared" si="1"/>
        <v>106.5</v>
      </c>
      <c r="X5">
        <v>0.5</v>
      </c>
      <c r="Y5">
        <v>8</v>
      </c>
      <c r="AB5">
        <f t="shared" ref="AB5:AB7" si="4">X5/$X$2*Y5</f>
        <v>0.4</v>
      </c>
      <c r="AC5">
        <f t="shared" ref="AC5:AC7" si="5">Y5-AB5</f>
        <v>7.6</v>
      </c>
    </row>
    <row r="6" spans="1:29" x14ac:dyDescent="0.2">
      <c r="A6" t="s">
        <v>393</v>
      </c>
      <c r="B6" s="1">
        <f t="shared" si="2"/>
        <v>45943.219444444454</v>
      </c>
      <c r="C6" s="1">
        <f t="shared" si="3"/>
        <v>45943.30277777779</v>
      </c>
      <c r="D6">
        <v>10.61</v>
      </c>
      <c r="E6">
        <f t="shared" si="0"/>
        <v>1.9299999999999997</v>
      </c>
      <c r="F6">
        <v>-121.3</v>
      </c>
      <c r="G6">
        <f>0.0074*EXP(0.0341*-F6)</f>
        <v>0.46303840564813892</v>
      </c>
      <c r="H6">
        <v>4.49</v>
      </c>
      <c r="I6">
        <f>0.5/62*14</f>
        <v>0.11290322580645161</v>
      </c>
      <c r="L6" t="e">
        <f>VLOOKUP(A6,IC_raw!$C$2:$E$111,2,FALSE)</f>
        <v>#N/A</v>
      </c>
      <c r="R6">
        <v>0.1</v>
      </c>
      <c r="S6">
        <v>-47.1</v>
      </c>
      <c r="T6">
        <f t="shared" si="1"/>
        <v>47.1</v>
      </c>
      <c r="X6">
        <v>0.25</v>
      </c>
      <c r="Y6">
        <v>8</v>
      </c>
      <c r="AB6">
        <f t="shared" si="4"/>
        <v>0.2</v>
      </c>
      <c r="AC6">
        <f t="shared" si="5"/>
        <v>7.8</v>
      </c>
    </row>
    <row r="7" spans="1:29" x14ac:dyDescent="0.2">
      <c r="A7" t="s">
        <v>394</v>
      </c>
      <c r="B7" s="1">
        <f t="shared" si="2"/>
        <v>45943.30277777779</v>
      </c>
      <c r="C7" s="1">
        <f t="shared" si="3"/>
        <v>45943.386111111126</v>
      </c>
      <c r="D7">
        <v>10.57</v>
      </c>
      <c r="E7">
        <f t="shared" si="0"/>
        <v>1.9100000000000001</v>
      </c>
      <c r="L7">
        <f>VLOOKUP(A7,IC_raw!$C$2:$E$111,2,FALSE)</f>
        <v>57.07</v>
      </c>
      <c r="R7">
        <v>0.05</v>
      </c>
      <c r="S7">
        <v>-45.8</v>
      </c>
      <c r="T7">
        <f t="shared" si="1"/>
        <v>45.8</v>
      </c>
      <c r="X7">
        <v>0.1</v>
      </c>
      <c r="Y7">
        <v>4</v>
      </c>
      <c r="AB7">
        <f t="shared" si="4"/>
        <v>0.04</v>
      </c>
      <c r="AC7">
        <f t="shared" si="5"/>
        <v>3.96</v>
      </c>
    </row>
    <row r="8" spans="1:29" x14ac:dyDescent="0.2">
      <c r="A8" t="s">
        <v>395</v>
      </c>
      <c r="B8" s="1">
        <f t="shared" si="2"/>
        <v>45943.386111111126</v>
      </c>
      <c r="C8" s="1">
        <f t="shared" si="3"/>
        <v>45943.469444444461</v>
      </c>
      <c r="D8">
        <v>10.63</v>
      </c>
      <c r="E8">
        <f t="shared" si="0"/>
        <v>1.9400000000000004</v>
      </c>
      <c r="F8">
        <v>-140.4</v>
      </c>
      <c r="G8">
        <f>0.0074*EXP(0.0341*-F8)</f>
        <v>0.88813166216923523</v>
      </c>
      <c r="L8" t="e">
        <f>VLOOKUP(A8,IC_raw!$C$2:$E$111,2,FALSE)</f>
        <v>#N/A</v>
      </c>
      <c r="R8">
        <v>0.01</v>
      </c>
      <c r="S8">
        <v>-44.8</v>
      </c>
      <c r="T8">
        <f t="shared" si="1"/>
        <v>44.8</v>
      </c>
      <c r="AB8">
        <f>SUM(AB3:AB7)</f>
        <v>3.0400000000000005</v>
      </c>
    </row>
    <row r="9" spans="1:29" x14ac:dyDescent="0.2">
      <c r="A9" t="s">
        <v>396</v>
      </c>
      <c r="B9" s="1">
        <f t="shared" si="2"/>
        <v>45943.469444444461</v>
      </c>
      <c r="C9" s="1">
        <f t="shared" si="3"/>
        <v>45943.552777777797</v>
      </c>
      <c r="D9">
        <v>10.57</v>
      </c>
      <c r="E9">
        <f t="shared" si="0"/>
        <v>1.9100000000000001</v>
      </c>
      <c r="F9">
        <v>-143.5</v>
      </c>
      <c r="G9">
        <f>0.0074*EXP(0.0341*-F9)</f>
        <v>0.98715789391462605</v>
      </c>
      <c r="L9" t="e">
        <f>VLOOKUP(A9,IC_raw!$C$2:$E$111,2,FALSE)</f>
        <v>#N/A</v>
      </c>
    </row>
    <row r="10" spans="1:29" x14ac:dyDescent="0.2">
      <c r="A10" t="s">
        <v>397</v>
      </c>
      <c r="B10" s="1">
        <f t="shared" si="2"/>
        <v>45943.552777777797</v>
      </c>
      <c r="C10" s="1">
        <f t="shared" si="3"/>
        <v>45943.636111111133</v>
      </c>
      <c r="D10">
        <v>10.58</v>
      </c>
      <c r="E10">
        <f t="shared" si="0"/>
        <v>1.915</v>
      </c>
      <c r="F10">
        <v>-144</v>
      </c>
      <c r="G10">
        <f>0.0074*EXP(0.0341*-F10)</f>
        <v>1.0041332395985327</v>
      </c>
      <c r="H10">
        <v>1.78</v>
      </c>
      <c r="I10">
        <f>0.5/62*14</f>
        <v>0.11290322580645161</v>
      </c>
      <c r="L10" t="e">
        <f>VLOOKUP(A10,IC_raw!$C$2:$E$111,2,FALSE)</f>
        <v>#N/A</v>
      </c>
    </row>
    <row r="11" spans="1:29" x14ac:dyDescent="0.2">
      <c r="A11" t="s">
        <v>398</v>
      </c>
      <c r="B11" s="1">
        <f t="shared" si="2"/>
        <v>45943.636111111133</v>
      </c>
      <c r="C11" s="1">
        <f t="shared" si="3"/>
        <v>45943.719444444469</v>
      </c>
      <c r="D11">
        <v>10.71</v>
      </c>
      <c r="E11">
        <f t="shared" si="0"/>
        <v>1.9800000000000004</v>
      </c>
      <c r="F11">
        <v>-144.5</v>
      </c>
      <c r="G11">
        <f>0.0074*EXP(0.0341*-F11)</f>
        <v>1.0214004963970273</v>
      </c>
      <c r="L11">
        <f>VLOOKUP(A11,IC_raw!$C$2:$E$111,2,FALSE)</f>
        <v>12.24</v>
      </c>
    </row>
    <row r="12" spans="1:29" x14ac:dyDescent="0.2">
      <c r="A12" t="s">
        <v>399</v>
      </c>
      <c r="B12" s="1">
        <f t="shared" si="2"/>
        <v>45943.719444444469</v>
      </c>
      <c r="C12" s="1">
        <f t="shared" si="3"/>
        <v>45943.802777777804</v>
      </c>
      <c r="D12">
        <v>10.54</v>
      </c>
      <c r="E12">
        <f t="shared" si="0"/>
        <v>1.8949999999999996</v>
      </c>
      <c r="H12">
        <v>1.72</v>
      </c>
      <c r="I12">
        <f>0.5/62*14</f>
        <v>0.11290322580645161</v>
      </c>
      <c r="L12" t="e">
        <f>VLOOKUP(A12,IC_raw!$C$2:$E$111,2,FALSE)</f>
        <v>#N/A</v>
      </c>
    </row>
    <row r="13" spans="1:29" x14ac:dyDescent="0.2">
      <c r="A13" t="s">
        <v>400</v>
      </c>
      <c r="B13" s="1">
        <f>C12</f>
        <v>45943.802777777804</v>
      </c>
      <c r="C13" s="1">
        <f>DATE(2025,10,13)+19.5/24 +6/24</f>
        <v>45944.0625</v>
      </c>
      <c r="D13">
        <v>17.899999999999999</v>
      </c>
      <c r="E13">
        <f>(D13-6.75)/6</f>
        <v>1.8583333333333332</v>
      </c>
      <c r="L13" t="e">
        <f>VLOOKUP(A13,IC_raw!$C$2:$E$111,2,FALSE)</f>
        <v>#N/A</v>
      </c>
    </row>
    <row r="14" spans="1:29" x14ac:dyDescent="0.2">
      <c r="A14" t="s">
        <v>455</v>
      </c>
      <c r="B14" s="1">
        <f>C13</f>
        <v>45944.0625</v>
      </c>
      <c r="C14" s="1">
        <f>B14+6/24</f>
        <v>45944.3125</v>
      </c>
      <c r="D14">
        <v>18.149999999999999</v>
      </c>
      <c r="E14">
        <f>(D14-6.75)/6</f>
        <v>1.8999999999999997</v>
      </c>
      <c r="L14" t="e">
        <f>VLOOKUP(A14,IC_raw!$C$2:$E$111,2,FALSE)</f>
        <v>#N/A</v>
      </c>
    </row>
    <row r="15" spans="1:29" x14ac:dyDescent="0.2">
      <c r="A15" t="s">
        <v>456</v>
      </c>
      <c r="B15" s="1">
        <f>C14</f>
        <v>45944.3125</v>
      </c>
      <c r="C15" s="1">
        <f>B15+6/24</f>
        <v>45944.5625</v>
      </c>
      <c r="D15">
        <v>18.2</v>
      </c>
      <c r="E15">
        <f>(D15-6.75)/6</f>
        <v>1.9083333333333332</v>
      </c>
      <c r="H15">
        <v>0.871</v>
      </c>
      <c r="I15">
        <f>0.5/62*14</f>
        <v>0.11290322580645161</v>
      </c>
      <c r="J15">
        <v>8</v>
      </c>
      <c r="K15">
        <v>827</v>
      </c>
      <c r="L15">
        <f>VLOOKUP(A15,IC_raw!$C$2:$E$111,2,FALSE)</f>
        <v>10.71</v>
      </c>
    </row>
    <row r="16" spans="1:29" x14ac:dyDescent="0.2">
      <c r="A16" t="s">
        <v>463</v>
      </c>
      <c r="B16" s="1">
        <v>45945.440972222219</v>
      </c>
      <c r="C16" s="1">
        <v>45945.600694444445</v>
      </c>
      <c r="D16">
        <v>14.33</v>
      </c>
      <c r="E16">
        <f>(D16-6.75)/4</f>
        <v>1.895</v>
      </c>
      <c r="H16">
        <v>1.65</v>
      </c>
      <c r="I16">
        <f>0.5/62*14</f>
        <v>0.11290322580645161</v>
      </c>
      <c r="L16">
        <f>VLOOKUP(A16,IC_raw!$C$2:$E$111,2,FALSE)</f>
        <v>12.2</v>
      </c>
    </row>
    <row r="17" spans="1:12" x14ac:dyDescent="0.2">
      <c r="A17" t="s">
        <v>401</v>
      </c>
      <c r="B17" s="1">
        <v>45942.886111111111</v>
      </c>
      <c r="C17" s="1">
        <f>B17+2/24</f>
        <v>45942.969444444447</v>
      </c>
      <c r="D17">
        <v>10.67</v>
      </c>
      <c r="E17">
        <f t="shared" si="0"/>
        <v>1.96</v>
      </c>
      <c r="H17">
        <v>7.4</v>
      </c>
      <c r="I17">
        <f>0.5/62*14</f>
        <v>0.11290322580645161</v>
      </c>
      <c r="L17" t="e">
        <f>VLOOKUP(A17,IC_raw!$C$2:$E$111,2,FALSE)</f>
        <v>#N/A</v>
      </c>
    </row>
    <row r="18" spans="1:12" x14ac:dyDescent="0.2">
      <c r="A18" t="s">
        <v>402</v>
      </c>
      <c r="B18" s="1">
        <f>C17</f>
        <v>45942.969444444447</v>
      </c>
      <c r="C18" s="1">
        <f>B18+2/24</f>
        <v>45943.052777777782</v>
      </c>
      <c r="D18">
        <v>11.05</v>
      </c>
      <c r="E18">
        <f t="shared" si="0"/>
        <v>2.1500000000000004</v>
      </c>
      <c r="L18">
        <f>VLOOKUP(A18,IC_raw!$C$2:$E$111,2,FALSE)</f>
        <v>33.83</v>
      </c>
    </row>
    <row r="19" spans="1:12" x14ac:dyDescent="0.2">
      <c r="A19" t="s">
        <v>403</v>
      </c>
      <c r="B19" s="1">
        <f t="shared" ref="B19:B27" si="6">C18</f>
        <v>45943.052777777782</v>
      </c>
      <c r="C19" s="1">
        <f t="shared" ref="C19:C27" si="7">B19+2/24</f>
        <v>45943.136111111118</v>
      </c>
      <c r="D19">
        <v>10.63</v>
      </c>
      <c r="E19">
        <f t="shared" si="0"/>
        <v>1.9400000000000004</v>
      </c>
      <c r="F19">
        <v>-75.400000000000006</v>
      </c>
      <c r="G19">
        <f>0.0074*EXP(0.0341*-F19)</f>
        <v>9.6797387009058794E-2</v>
      </c>
      <c r="L19">
        <f>VLOOKUP(A19,IC_raw!$C$2:$E$111,2,FALSE)</f>
        <v>0</v>
      </c>
    </row>
    <row r="20" spans="1:12" x14ac:dyDescent="0.2">
      <c r="A20" t="s">
        <v>404</v>
      </c>
      <c r="B20" s="1">
        <f t="shared" si="6"/>
        <v>45943.136111111118</v>
      </c>
      <c r="C20" s="1">
        <f t="shared" si="7"/>
        <v>45943.219444444454</v>
      </c>
      <c r="D20">
        <v>10.8</v>
      </c>
      <c r="E20">
        <f t="shared" si="0"/>
        <v>2.0250000000000004</v>
      </c>
      <c r="F20">
        <v>-107.8</v>
      </c>
      <c r="G20">
        <f>0.0074*EXP(0.0341*-F20)</f>
        <v>0.29220628262862869</v>
      </c>
      <c r="L20" t="e">
        <f>VLOOKUP(A20,IC_raw!$C$2:$E$111,2,FALSE)</f>
        <v>#N/A</v>
      </c>
    </row>
    <row r="21" spans="1:12" x14ac:dyDescent="0.2">
      <c r="A21" t="s">
        <v>405</v>
      </c>
      <c r="B21" s="1">
        <f t="shared" si="6"/>
        <v>45943.219444444454</v>
      </c>
      <c r="C21" s="1">
        <f t="shared" si="7"/>
        <v>45943.30277777779</v>
      </c>
      <c r="D21">
        <v>10.66</v>
      </c>
      <c r="E21">
        <f t="shared" si="0"/>
        <v>1.9550000000000001</v>
      </c>
      <c r="F21">
        <v>-127</v>
      </c>
      <c r="G21">
        <f>0.0074*EXP(0.0341*-F21)</f>
        <v>0.56238124973553894</v>
      </c>
      <c r="H21">
        <v>2.3199999999999998</v>
      </c>
      <c r="I21">
        <f>0.5/62*14</f>
        <v>0.11290322580645161</v>
      </c>
      <c r="L21" t="e">
        <f>VLOOKUP(A21,IC_raw!$C$2:$E$111,2,FALSE)</f>
        <v>#N/A</v>
      </c>
    </row>
    <row r="22" spans="1:12" x14ac:dyDescent="0.2">
      <c r="A22" t="s">
        <v>406</v>
      </c>
      <c r="B22" s="1">
        <f t="shared" si="6"/>
        <v>45943.30277777779</v>
      </c>
      <c r="C22" s="1">
        <f t="shared" si="7"/>
        <v>45943.386111111126</v>
      </c>
      <c r="D22">
        <v>10.83</v>
      </c>
      <c r="E22">
        <f t="shared" si="0"/>
        <v>2.04</v>
      </c>
      <c r="L22">
        <f>VLOOKUP(A22,IC_raw!$C$2:$E$111,2,FALSE)</f>
        <v>7.55</v>
      </c>
    </row>
    <row r="23" spans="1:12" x14ac:dyDescent="0.2">
      <c r="A23" t="s">
        <v>407</v>
      </c>
      <c r="B23" s="1">
        <f t="shared" si="6"/>
        <v>45943.386111111126</v>
      </c>
      <c r="C23" s="1">
        <f t="shared" si="7"/>
        <v>45943.469444444461</v>
      </c>
      <c r="D23">
        <v>10.88</v>
      </c>
      <c r="E23">
        <f t="shared" si="0"/>
        <v>2.0650000000000004</v>
      </c>
      <c r="F23">
        <v>-140.6</v>
      </c>
      <c r="G23">
        <f t="shared" ref="G23:G24" si="8">0.0074*EXP(0.0341*-F23)</f>
        <v>0.89420942170767537</v>
      </c>
      <c r="L23" t="e">
        <f>VLOOKUP(A23,IC_raw!$C$2:$E$111,2,FALSE)</f>
        <v>#N/A</v>
      </c>
    </row>
    <row r="24" spans="1:12" x14ac:dyDescent="0.2">
      <c r="A24" t="s">
        <v>408</v>
      </c>
      <c r="B24" s="1">
        <f t="shared" si="6"/>
        <v>45943.469444444461</v>
      </c>
      <c r="C24" s="1">
        <f t="shared" si="7"/>
        <v>45943.552777777797</v>
      </c>
      <c r="D24">
        <v>10.63</v>
      </c>
      <c r="E24">
        <f t="shared" si="0"/>
        <v>1.9400000000000004</v>
      </c>
      <c r="F24">
        <v>-146.69999999999999</v>
      </c>
      <c r="G24">
        <f t="shared" si="8"/>
        <v>1.1009734260203785</v>
      </c>
      <c r="L24" t="e">
        <f>VLOOKUP(A24,IC_raw!$C$2:$E$111,2,FALSE)</f>
        <v>#N/A</v>
      </c>
    </row>
    <row r="25" spans="1:12" x14ac:dyDescent="0.2">
      <c r="A25" t="s">
        <v>409</v>
      </c>
      <c r="B25" s="1">
        <f t="shared" si="6"/>
        <v>45943.552777777797</v>
      </c>
      <c r="C25" s="1">
        <f t="shared" si="7"/>
        <v>45943.636111111133</v>
      </c>
      <c r="D25">
        <v>9.5</v>
      </c>
      <c r="E25">
        <f t="shared" si="0"/>
        <v>1.375</v>
      </c>
      <c r="H25">
        <v>0.86799999999999999</v>
      </c>
      <c r="I25">
        <f>0.5/62*14</f>
        <v>0.11290322580645161</v>
      </c>
      <c r="L25" t="e">
        <f>VLOOKUP(A25,IC_raw!$C$2:$E$111,2,FALSE)</f>
        <v>#N/A</v>
      </c>
    </row>
    <row r="26" spans="1:12" x14ac:dyDescent="0.2">
      <c r="A26" t="s">
        <v>410</v>
      </c>
      <c r="B26" s="1">
        <f t="shared" si="6"/>
        <v>45943.636111111133</v>
      </c>
      <c r="C26" s="1">
        <f t="shared" si="7"/>
        <v>45943.719444444469</v>
      </c>
      <c r="D26">
        <v>11.24</v>
      </c>
      <c r="E26">
        <f t="shared" si="0"/>
        <v>2.2450000000000001</v>
      </c>
      <c r="L26">
        <f>VLOOKUP(A26,IC_raw!$C$2:$E$111,2,FALSE)</f>
        <v>5.01</v>
      </c>
    </row>
    <row r="27" spans="1:12" x14ac:dyDescent="0.2">
      <c r="A27" t="s">
        <v>411</v>
      </c>
      <c r="B27" s="1">
        <f t="shared" si="6"/>
        <v>45943.719444444469</v>
      </c>
      <c r="C27" s="1">
        <f t="shared" si="7"/>
        <v>45943.802777777804</v>
      </c>
      <c r="D27">
        <v>10.76</v>
      </c>
      <c r="E27">
        <f t="shared" si="0"/>
        <v>2.0049999999999999</v>
      </c>
      <c r="F27">
        <v>-143.6</v>
      </c>
      <c r="G27">
        <f>0.0074*EXP(0.0341*-F27)</f>
        <v>0.99052984824756096</v>
      </c>
      <c r="H27">
        <v>0.39200000000000002</v>
      </c>
      <c r="I27">
        <f>0.5/62*14</f>
        <v>0.11290322580645161</v>
      </c>
      <c r="L27" t="e">
        <f>VLOOKUP(A27,IC_raw!$C$2:$E$111,2,FALSE)</f>
        <v>#N/A</v>
      </c>
    </row>
    <row r="28" spans="1:12" x14ac:dyDescent="0.2">
      <c r="A28" t="s">
        <v>412</v>
      </c>
      <c r="B28" s="1">
        <f>C27</f>
        <v>45943.802777777804</v>
      </c>
      <c r="C28" s="1">
        <f>DATE(2025,10,13)+19.5/24 +6/24</f>
        <v>45944.0625</v>
      </c>
      <c r="D28">
        <v>18.940000000000001</v>
      </c>
      <c r="E28">
        <f>(D28-6.75)/6</f>
        <v>2.0316666666666667</v>
      </c>
      <c r="F28">
        <v>-144.6</v>
      </c>
      <c r="G28">
        <f>0.0074*EXP(0.0341*-F28)</f>
        <v>1.0248894173191203</v>
      </c>
      <c r="L28" t="e">
        <f>VLOOKUP(A28,IC_raw!$C$2:$E$111,2,FALSE)</f>
        <v>#N/A</v>
      </c>
    </row>
    <row r="29" spans="1:12" x14ac:dyDescent="0.2">
      <c r="A29" t="s">
        <v>457</v>
      </c>
      <c r="B29" s="1">
        <f>C28</f>
        <v>45944.0625</v>
      </c>
      <c r="C29" s="1">
        <f>B29+6/24</f>
        <v>45944.3125</v>
      </c>
      <c r="D29">
        <v>18.850000000000001</v>
      </c>
      <c r="E29">
        <f>(D29-6.75)/6</f>
        <v>2.0166666666666671</v>
      </c>
      <c r="L29" t="e">
        <f>VLOOKUP(A29,IC_raw!$C$2:$E$111,2,FALSE)</f>
        <v>#N/A</v>
      </c>
    </row>
    <row r="30" spans="1:12" x14ac:dyDescent="0.2">
      <c r="A30" t="s">
        <v>458</v>
      </c>
      <c r="B30" s="1">
        <f>C29</f>
        <v>45944.3125</v>
      </c>
      <c r="C30" s="1">
        <f>B30+6/24</f>
        <v>45944.5625</v>
      </c>
      <c r="D30">
        <v>18.78</v>
      </c>
      <c r="E30">
        <f>(D30-6.75)/6</f>
        <v>2.0050000000000003</v>
      </c>
      <c r="H30">
        <v>0.254</v>
      </c>
      <c r="I30">
        <f>0.5/62*14</f>
        <v>0.11290322580645161</v>
      </c>
      <c r="J30">
        <v>8.1</v>
      </c>
      <c r="K30">
        <v>828</v>
      </c>
      <c r="L30">
        <f>VLOOKUP(A30,IC_raw!$C$2:$E$111,2,FALSE)</f>
        <v>2.4300000000000002</v>
      </c>
    </row>
    <row r="31" spans="1:12" x14ac:dyDescent="0.2">
      <c r="A31" t="s">
        <v>464</v>
      </c>
      <c r="B31" s="1">
        <v>45945.440972222219</v>
      </c>
      <c r="C31" s="1">
        <v>45945.600694444445</v>
      </c>
      <c r="D31">
        <v>14.7</v>
      </c>
      <c r="E31">
        <f>(D31-6.75)/4</f>
        <v>1.9874999999999998</v>
      </c>
      <c r="H31">
        <v>0.32</v>
      </c>
      <c r="I31">
        <f>0.5/62*14</f>
        <v>0.11290322580645161</v>
      </c>
      <c r="L31">
        <f>VLOOKUP(A31,IC_raw!$C$2:$E$111,2,FALSE)</f>
        <v>3.92</v>
      </c>
    </row>
    <row r="32" spans="1:12" x14ac:dyDescent="0.2">
      <c r="A32" t="s">
        <v>413</v>
      </c>
      <c r="B32" s="1">
        <v>45942.886111111111</v>
      </c>
      <c r="C32" s="1">
        <f>B32+2/24</f>
        <v>45942.969444444447</v>
      </c>
      <c r="D32">
        <v>10.81</v>
      </c>
      <c r="E32">
        <f t="shared" si="0"/>
        <v>2.0300000000000002</v>
      </c>
      <c r="H32">
        <v>8.42</v>
      </c>
      <c r="I32">
        <f>0.5/62*14</f>
        <v>0.11290322580645161</v>
      </c>
      <c r="L32" t="e">
        <f>VLOOKUP(A32,IC_raw!$C$2:$E$111,2,FALSE)</f>
        <v>#N/A</v>
      </c>
    </row>
    <row r="33" spans="1:12" x14ac:dyDescent="0.2">
      <c r="A33" t="s">
        <v>414</v>
      </c>
      <c r="B33" s="1">
        <f>C32</f>
        <v>45942.969444444447</v>
      </c>
      <c r="C33" s="1">
        <f>B33+2/24</f>
        <v>45943.052777777782</v>
      </c>
      <c r="D33">
        <v>10.67</v>
      </c>
      <c r="E33">
        <f t="shared" si="0"/>
        <v>1.96</v>
      </c>
      <c r="L33">
        <f>VLOOKUP(A33,IC_raw!$C$2:$E$111,2,FALSE)</f>
        <v>38.94</v>
      </c>
    </row>
    <row r="34" spans="1:12" x14ac:dyDescent="0.2">
      <c r="A34" t="s">
        <v>415</v>
      </c>
      <c r="B34" s="1">
        <f t="shared" ref="B34:B42" si="9">C33</f>
        <v>45943.052777777782</v>
      </c>
      <c r="C34" s="1">
        <f t="shared" ref="C34:C42" si="10">B34+2/24</f>
        <v>45943.136111111118</v>
      </c>
      <c r="D34">
        <v>10.8</v>
      </c>
      <c r="E34">
        <f t="shared" si="0"/>
        <v>2.0250000000000004</v>
      </c>
      <c r="F34">
        <v>-67.5</v>
      </c>
      <c r="G34">
        <f>0.0074*EXP(0.0341*-F34)</f>
        <v>7.393822891433087E-2</v>
      </c>
      <c r="L34" t="e">
        <f>VLOOKUP(A34,IC_raw!$C$2:$E$111,2,FALSE)</f>
        <v>#N/A</v>
      </c>
    </row>
    <row r="35" spans="1:12" x14ac:dyDescent="0.2">
      <c r="A35" t="s">
        <v>416</v>
      </c>
      <c r="B35" s="1">
        <f t="shared" si="9"/>
        <v>45943.136111111118</v>
      </c>
      <c r="C35" s="1">
        <f t="shared" si="10"/>
        <v>45943.219444444454</v>
      </c>
      <c r="D35">
        <v>10.83</v>
      </c>
      <c r="E35">
        <f t="shared" si="0"/>
        <v>2.04</v>
      </c>
      <c r="F35">
        <v>-108.5</v>
      </c>
      <c r="G35">
        <f>0.0074*EXP(0.0341*-F35)</f>
        <v>0.29926515912372864</v>
      </c>
      <c r="L35" t="e">
        <f>VLOOKUP(A35,IC_raw!$C$2:$E$111,2,FALSE)</f>
        <v>#N/A</v>
      </c>
    </row>
    <row r="36" spans="1:12" x14ac:dyDescent="0.2">
      <c r="A36" t="s">
        <v>417</v>
      </c>
      <c r="B36" s="1">
        <f t="shared" si="9"/>
        <v>45943.219444444454</v>
      </c>
      <c r="C36" s="1">
        <f t="shared" si="10"/>
        <v>45943.30277777779</v>
      </c>
      <c r="D36">
        <v>10.78</v>
      </c>
      <c r="E36">
        <f t="shared" si="0"/>
        <v>2.0149999999999997</v>
      </c>
      <c r="F36">
        <v>-131.30000000000001</v>
      </c>
      <c r="G36">
        <f>0.0074*EXP(0.0341*-F36)</f>
        <v>0.65119556242691201</v>
      </c>
      <c r="H36">
        <v>1.79</v>
      </c>
      <c r="I36">
        <f>0.5/62*14</f>
        <v>0.11290322580645161</v>
      </c>
      <c r="L36" t="e">
        <f>VLOOKUP(A36,IC_raw!$C$2:$E$111,2,FALSE)</f>
        <v>#N/A</v>
      </c>
    </row>
    <row r="37" spans="1:12" x14ac:dyDescent="0.2">
      <c r="A37" t="s">
        <v>418</v>
      </c>
      <c r="B37" s="1">
        <f t="shared" si="9"/>
        <v>45943.30277777779</v>
      </c>
      <c r="C37" s="1">
        <f t="shared" si="10"/>
        <v>45943.386111111126</v>
      </c>
      <c r="D37">
        <v>10.66</v>
      </c>
      <c r="E37">
        <f t="shared" si="0"/>
        <v>1.9550000000000001</v>
      </c>
      <c r="L37">
        <f>VLOOKUP(A37,IC_raw!$C$2:$E$111,2,FALSE)</f>
        <v>11.54</v>
      </c>
    </row>
    <row r="38" spans="1:12" x14ac:dyDescent="0.2">
      <c r="A38" t="s">
        <v>419</v>
      </c>
      <c r="B38" s="1">
        <f t="shared" si="9"/>
        <v>45943.386111111126</v>
      </c>
      <c r="C38" s="1">
        <f t="shared" si="10"/>
        <v>45943.469444444461</v>
      </c>
      <c r="D38">
        <v>10.83</v>
      </c>
      <c r="E38">
        <f t="shared" si="0"/>
        <v>2.04</v>
      </c>
      <c r="F38">
        <v>-141.30000000000001</v>
      </c>
      <c r="G38">
        <f>0.0074*EXP(0.0341*-F38)</f>
        <v>0.91581098965415086</v>
      </c>
      <c r="L38" t="e">
        <f>VLOOKUP(A38,IC_raw!$C$2:$E$111,2,FALSE)</f>
        <v>#N/A</v>
      </c>
    </row>
    <row r="39" spans="1:12" x14ac:dyDescent="0.2">
      <c r="A39" t="s">
        <v>420</v>
      </c>
      <c r="B39" s="1">
        <f t="shared" si="9"/>
        <v>45943.469444444461</v>
      </c>
      <c r="C39" s="1">
        <f t="shared" si="10"/>
        <v>45943.552777777797</v>
      </c>
      <c r="D39">
        <v>10.67</v>
      </c>
      <c r="E39">
        <f t="shared" si="0"/>
        <v>1.96</v>
      </c>
      <c r="F39">
        <v>-142.80000000000001</v>
      </c>
      <c r="G39">
        <f>0.0074*EXP(0.0341*-F39)</f>
        <v>0.96387344050645218</v>
      </c>
      <c r="L39" t="e">
        <f>VLOOKUP(A39,IC_raw!$C$2:$E$111,2,FALSE)</f>
        <v>#N/A</v>
      </c>
    </row>
    <row r="40" spans="1:12" x14ac:dyDescent="0.2">
      <c r="A40" t="s">
        <v>421</v>
      </c>
      <c r="B40" s="1">
        <f t="shared" si="9"/>
        <v>45943.552777777797</v>
      </c>
      <c r="C40" s="1">
        <f t="shared" si="10"/>
        <v>45943.636111111133</v>
      </c>
      <c r="D40">
        <v>10.7</v>
      </c>
      <c r="E40">
        <f t="shared" si="0"/>
        <v>1.9749999999999996</v>
      </c>
      <c r="H40">
        <v>1.47</v>
      </c>
      <c r="I40">
        <f>0.5/62*14</f>
        <v>0.11290322580645161</v>
      </c>
      <c r="L40" t="e">
        <f>VLOOKUP(A40,IC_raw!$C$2:$E$111,2,FALSE)</f>
        <v>#N/A</v>
      </c>
    </row>
    <row r="41" spans="1:12" x14ac:dyDescent="0.2">
      <c r="A41" t="s">
        <v>422</v>
      </c>
      <c r="B41" s="1">
        <f t="shared" si="9"/>
        <v>45943.636111111133</v>
      </c>
      <c r="C41" s="1">
        <f t="shared" si="10"/>
        <v>45943.719444444469</v>
      </c>
      <c r="D41">
        <v>9.98</v>
      </c>
      <c r="E41">
        <f t="shared" si="0"/>
        <v>1.6150000000000002</v>
      </c>
      <c r="L41">
        <f>VLOOKUP(A41,IC_raw!$C$2:$E$111,2,FALSE)</f>
        <v>8.25</v>
      </c>
    </row>
    <row r="42" spans="1:12" x14ac:dyDescent="0.2">
      <c r="A42" t="s">
        <v>423</v>
      </c>
      <c r="B42" s="1">
        <f t="shared" si="9"/>
        <v>45943.719444444469</v>
      </c>
      <c r="C42" s="1">
        <f t="shared" si="10"/>
        <v>45943.802777777804</v>
      </c>
      <c r="D42">
        <v>10.95</v>
      </c>
      <c r="E42">
        <f t="shared" si="0"/>
        <v>2.0999999999999996</v>
      </c>
      <c r="F42">
        <v>-144</v>
      </c>
      <c r="G42">
        <f>0.0074*EXP(0.0341*-F42)</f>
        <v>1.0041332395985327</v>
      </c>
      <c r="H42">
        <v>1.36</v>
      </c>
      <c r="I42">
        <f>0.5/62*14</f>
        <v>0.11290322580645161</v>
      </c>
      <c r="L42" t="e">
        <f>VLOOKUP(A42,IC_raw!$C$2:$E$111,2,FALSE)</f>
        <v>#N/A</v>
      </c>
    </row>
    <row r="43" spans="1:12" x14ac:dyDescent="0.2">
      <c r="A43" t="s">
        <v>424</v>
      </c>
      <c r="B43" s="1">
        <f>C42</f>
        <v>45943.802777777804</v>
      </c>
      <c r="C43" s="1">
        <f>DATE(2025,10,13)+19.5/24 +6/24</f>
        <v>45944.0625</v>
      </c>
      <c r="D43">
        <v>19.22</v>
      </c>
      <c r="E43">
        <f>(D43-6.75)/6</f>
        <v>2.0783333333333331</v>
      </c>
      <c r="F43">
        <v>-144.4</v>
      </c>
      <c r="G43">
        <f>0.0074*EXP(0.0341*-F43)</f>
        <v>1.0179234524335554</v>
      </c>
      <c r="L43" t="e">
        <f>VLOOKUP(A43,IC_raw!$C$2:$E$111,2,FALSE)</f>
        <v>#N/A</v>
      </c>
    </row>
    <row r="44" spans="1:12" x14ac:dyDescent="0.2">
      <c r="A44" t="s">
        <v>459</v>
      </c>
      <c r="B44" s="1">
        <f>C43</f>
        <v>45944.0625</v>
      </c>
      <c r="C44" s="1">
        <f>B44+6/24</f>
        <v>45944.3125</v>
      </c>
      <c r="D44">
        <v>18.809999999999999</v>
      </c>
      <c r="E44">
        <f>(D44-6.75)/6</f>
        <v>2.0099999999999998</v>
      </c>
      <c r="L44" t="e">
        <f>VLOOKUP(A44,IC_raw!$C$2:$E$111,2,FALSE)</f>
        <v>#N/A</v>
      </c>
    </row>
    <row r="45" spans="1:12" x14ac:dyDescent="0.2">
      <c r="A45" t="s">
        <v>460</v>
      </c>
      <c r="B45" s="1">
        <f>C44</f>
        <v>45944.3125</v>
      </c>
      <c r="C45" s="1">
        <f>B45+6/24</f>
        <v>45944.5625</v>
      </c>
      <c r="D45">
        <v>18.75</v>
      </c>
      <c r="E45">
        <f>(D45-6.75)/6</f>
        <v>2</v>
      </c>
      <c r="H45">
        <v>0.42</v>
      </c>
      <c r="I45">
        <f>0.5/62*14</f>
        <v>0.11290322580645161</v>
      </c>
      <c r="J45">
        <v>8.1199999999999992</v>
      </c>
      <c r="K45">
        <v>817</v>
      </c>
      <c r="L45">
        <f>VLOOKUP(A45,IC_raw!$C$2:$E$111,2,FALSE)</f>
        <v>8.67</v>
      </c>
    </row>
    <row r="46" spans="1:12" x14ac:dyDescent="0.2">
      <c r="A46" t="s">
        <v>465</v>
      </c>
      <c r="B46" s="1">
        <v>45945.440972222219</v>
      </c>
      <c r="C46" s="1">
        <v>45945.600694444445</v>
      </c>
      <c r="D46">
        <v>14.48</v>
      </c>
      <c r="E46">
        <f>(D46-6.75)/4</f>
        <v>1.9325000000000001</v>
      </c>
      <c r="H46">
        <v>0.69</v>
      </c>
      <c r="I46">
        <f>0.5/62*14</f>
        <v>0.11290322580645161</v>
      </c>
      <c r="L46">
        <f>VLOOKUP(A46,IC_raw!$C$2:$E$111,2,FALSE)</f>
        <v>8.74</v>
      </c>
    </row>
    <row r="47" spans="1:12" x14ac:dyDescent="0.2">
      <c r="A47" t="s">
        <v>425</v>
      </c>
      <c r="B47" s="1">
        <v>45942.886111111111</v>
      </c>
      <c r="C47" s="1">
        <f>B47+2/24</f>
        <v>45942.969444444447</v>
      </c>
      <c r="D47">
        <v>10.64</v>
      </c>
      <c r="E47">
        <f t="shared" si="0"/>
        <v>1.9450000000000003</v>
      </c>
      <c r="L47" t="e">
        <f>VLOOKUP(A47,IC_raw!$C$2:$E$111,2,FALSE)</f>
        <v>#N/A</v>
      </c>
    </row>
    <row r="48" spans="1:12" x14ac:dyDescent="0.2">
      <c r="A48" t="s">
        <v>426</v>
      </c>
      <c r="B48" s="1">
        <f>C47</f>
        <v>45942.969444444447</v>
      </c>
      <c r="C48" s="1">
        <f>B48+2/24</f>
        <v>45943.052777777782</v>
      </c>
      <c r="D48">
        <v>10.68</v>
      </c>
      <c r="E48">
        <f t="shared" si="0"/>
        <v>1.9649999999999999</v>
      </c>
      <c r="L48" t="e">
        <f>VLOOKUP(A48,IC_raw!$C$2:$E$111,2,FALSE)</f>
        <v>#N/A</v>
      </c>
    </row>
    <row r="49" spans="1:12" x14ac:dyDescent="0.2">
      <c r="A49" t="s">
        <v>427</v>
      </c>
      <c r="B49" s="1">
        <f t="shared" ref="B49:B57" si="11">C48</f>
        <v>45943.052777777782</v>
      </c>
      <c r="C49" s="1">
        <f t="shared" ref="C49:C57" si="12">B49+2/24</f>
        <v>45943.136111111118</v>
      </c>
      <c r="D49">
        <v>10.68</v>
      </c>
      <c r="E49">
        <f t="shared" si="0"/>
        <v>1.9649999999999999</v>
      </c>
      <c r="L49" t="e">
        <f>VLOOKUP(A49,IC_raw!$C$2:$E$111,2,FALSE)</f>
        <v>#N/A</v>
      </c>
    </row>
    <row r="50" spans="1:12" x14ac:dyDescent="0.2">
      <c r="A50" t="s">
        <v>428</v>
      </c>
      <c r="B50" s="1">
        <f t="shared" si="11"/>
        <v>45943.136111111118</v>
      </c>
      <c r="C50" s="1">
        <f t="shared" si="12"/>
        <v>45943.219444444454</v>
      </c>
      <c r="D50">
        <v>10.76</v>
      </c>
      <c r="E50">
        <f t="shared" si="0"/>
        <v>2.0049999999999999</v>
      </c>
      <c r="L50" t="e">
        <f>VLOOKUP(A50,IC_raw!$C$2:$E$111,2,FALSE)</f>
        <v>#N/A</v>
      </c>
    </row>
    <row r="51" spans="1:12" x14ac:dyDescent="0.2">
      <c r="A51" t="s">
        <v>429</v>
      </c>
      <c r="B51" s="1">
        <f t="shared" si="11"/>
        <v>45943.219444444454</v>
      </c>
      <c r="C51" s="1">
        <f t="shared" si="12"/>
        <v>45943.30277777779</v>
      </c>
      <c r="D51">
        <v>10.67</v>
      </c>
      <c r="E51">
        <f t="shared" si="0"/>
        <v>1.96</v>
      </c>
      <c r="L51" t="e">
        <f>VLOOKUP(A51,IC_raw!$C$2:$E$111,2,FALSE)</f>
        <v>#N/A</v>
      </c>
    </row>
    <row r="52" spans="1:12" x14ac:dyDescent="0.2">
      <c r="A52" t="s">
        <v>430</v>
      </c>
      <c r="B52" s="1">
        <f t="shared" si="11"/>
        <v>45943.30277777779</v>
      </c>
      <c r="C52" s="1">
        <f t="shared" si="12"/>
        <v>45943.386111111126</v>
      </c>
      <c r="D52">
        <v>10.66</v>
      </c>
      <c r="E52">
        <f t="shared" si="0"/>
        <v>1.9550000000000001</v>
      </c>
      <c r="L52" t="e">
        <f>VLOOKUP(A52,IC_raw!$C$2:$E$111,2,FALSE)</f>
        <v>#N/A</v>
      </c>
    </row>
    <row r="53" spans="1:12" x14ac:dyDescent="0.2">
      <c r="A53" t="s">
        <v>431</v>
      </c>
      <c r="B53" s="1">
        <f t="shared" si="11"/>
        <v>45943.386111111126</v>
      </c>
      <c r="C53" s="1">
        <f t="shared" si="12"/>
        <v>45943.469444444461</v>
      </c>
      <c r="D53">
        <v>10.73</v>
      </c>
      <c r="E53">
        <f t="shared" si="0"/>
        <v>1.9900000000000002</v>
      </c>
      <c r="L53" t="e">
        <f>VLOOKUP(A53,IC_raw!$C$2:$E$111,2,FALSE)</f>
        <v>#N/A</v>
      </c>
    </row>
    <row r="54" spans="1:12" x14ac:dyDescent="0.2">
      <c r="A54" t="s">
        <v>432</v>
      </c>
      <c r="B54" s="1">
        <f t="shared" si="11"/>
        <v>45943.469444444461</v>
      </c>
      <c r="C54" s="1">
        <f t="shared" si="12"/>
        <v>45943.552777777797</v>
      </c>
      <c r="D54">
        <v>10.64</v>
      </c>
      <c r="E54">
        <f t="shared" si="0"/>
        <v>1.9450000000000003</v>
      </c>
      <c r="L54" t="e">
        <f>VLOOKUP(A54,IC_raw!$C$2:$E$111,2,FALSE)</f>
        <v>#N/A</v>
      </c>
    </row>
    <row r="55" spans="1:12" x14ac:dyDescent="0.2">
      <c r="A55" t="s">
        <v>433</v>
      </c>
      <c r="B55" s="1">
        <f t="shared" si="11"/>
        <v>45943.552777777797</v>
      </c>
      <c r="C55" s="1">
        <f t="shared" si="12"/>
        <v>45943.636111111133</v>
      </c>
      <c r="D55">
        <v>10.71</v>
      </c>
      <c r="E55">
        <f t="shared" si="0"/>
        <v>1.9800000000000004</v>
      </c>
      <c r="L55" t="e">
        <f>VLOOKUP(A55,IC_raw!$C$2:$E$111,2,FALSE)</f>
        <v>#N/A</v>
      </c>
    </row>
    <row r="56" spans="1:12" x14ac:dyDescent="0.2">
      <c r="A56" t="s">
        <v>434</v>
      </c>
      <c r="B56" s="1">
        <f t="shared" si="11"/>
        <v>45943.636111111133</v>
      </c>
      <c r="C56" s="1">
        <f t="shared" si="12"/>
        <v>45943.719444444469</v>
      </c>
      <c r="D56">
        <v>10.69</v>
      </c>
      <c r="E56">
        <f t="shared" si="0"/>
        <v>1.9699999999999998</v>
      </c>
      <c r="L56" t="e">
        <f>VLOOKUP(A56,IC_raw!$C$2:$E$111,2,FALSE)</f>
        <v>#N/A</v>
      </c>
    </row>
    <row r="57" spans="1:12" x14ac:dyDescent="0.2">
      <c r="A57" t="s">
        <v>435</v>
      </c>
      <c r="B57" s="1">
        <f t="shared" si="11"/>
        <v>45943.719444444469</v>
      </c>
      <c r="C57" s="1">
        <f t="shared" si="12"/>
        <v>45943.802777777804</v>
      </c>
      <c r="D57">
        <v>10.66</v>
      </c>
      <c r="E57">
        <f t="shared" si="0"/>
        <v>1.9550000000000001</v>
      </c>
      <c r="L57" t="e">
        <f>VLOOKUP(A57,IC_raw!$C$2:$E$111,2,FALSE)</f>
        <v>#N/A</v>
      </c>
    </row>
    <row r="58" spans="1:12" x14ac:dyDescent="0.2">
      <c r="A58" t="s">
        <v>436</v>
      </c>
      <c r="B58" s="1">
        <f>C57</f>
        <v>45943.802777777804</v>
      </c>
      <c r="C58" s="1">
        <f>DATE(2025,10,13)+19.5/24 +6/24</f>
        <v>45944.0625</v>
      </c>
      <c r="D58">
        <v>18.96</v>
      </c>
      <c r="E58">
        <f>(D58-6.75)/6</f>
        <v>2.0350000000000001</v>
      </c>
      <c r="L58" t="e">
        <f>VLOOKUP(A58,IC_raw!$C$2:$E$111,2,FALSE)</f>
        <v>#N/A</v>
      </c>
    </row>
    <row r="59" spans="1:12" x14ac:dyDescent="0.2">
      <c r="A59" t="s">
        <v>461</v>
      </c>
      <c r="B59" s="1">
        <f>C58</f>
        <v>45944.0625</v>
      </c>
      <c r="C59" s="1">
        <f>B59+6/24</f>
        <v>45944.3125</v>
      </c>
      <c r="L59" t="e">
        <f>VLOOKUP(A59,IC_raw!$C$2:$E$111,2,FALSE)</f>
        <v>#N/A</v>
      </c>
    </row>
    <row r="60" spans="1:12" x14ac:dyDescent="0.2">
      <c r="A60" t="s">
        <v>462</v>
      </c>
      <c r="B60" s="1">
        <f>C59</f>
        <v>45944.3125</v>
      </c>
      <c r="C60" s="1">
        <f>B60+6/24</f>
        <v>45944.5625</v>
      </c>
      <c r="D60">
        <v>18.559999999999999</v>
      </c>
      <c r="E60">
        <f>(D60-6.75)/6</f>
        <v>1.968333333333333</v>
      </c>
      <c r="J60">
        <v>7.87</v>
      </c>
      <c r="K60">
        <v>605</v>
      </c>
      <c r="L60" t="e">
        <f>VLOOKUP(A60,IC_raw!$C$2:$E$111,2,FALSE)</f>
        <v>#N/A</v>
      </c>
    </row>
    <row r="61" spans="1:12" x14ac:dyDescent="0.2">
      <c r="A61" t="s">
        <v>466</v>
      </c>
      <c r="B61" s="1">
        <v>45945.440972222219</v>
      </c>
      <c r="C61" s="1">
        <v>45945.600694444445</v>
      </c>
      <c r="D61">
        <v>15.04</v>
      </c>
      <c r="E61">
        <f>(D61-6.75)/4</f>
        <v>2.0724999999999998</v>
      </c>
      <c r="L61" t="e">
        <f>VLOOKUP(A61,IC_raw!$C$2:$E$111,2,FALSE)</f>
        <v>#N/A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4493-3AAA-0649-9876-DE782407159B}">
  <dimension ref="A1:L17"/>
  <sheetViews>
    <sheetView workbookViewId="0">
      <selection activeCell="F12" sqref="F12"/>
    </sheetView>
  </sheetViews>
  <sheetFormatPr baseColWidth="10" defaultRowHeight="16" x14ac:dyDescent="0.2"/>
  <cols>
    <col min="2" max="3" width="13" bestFit="1" customWidth="1"/>
    <col min="4" max="5" width="12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294</v>
      </c>
      <c r="E1" t="s">
        <v>295</v>
      </c>
      <c r="G1" t="s">
        <v>167</v>
      </c>
      <c r="H1" t="s">
        <v>168</v>
      </c>
      <c r="I1" t="s">
        <v>169</v>
      </c>
      <c r="L1" t="s">
        <v>293</v>
      </c>
    </row>
    <row r="2" spans="1:12" x14ac:dyDescent="0.2">
      <c r="A2" t="s">
        <v>20</v>
      </c>
      <c r="B2" s="1">
        <v>45924.666666666664</v>
      </c>
      <c r="C2" s="1">
        <v>45924.708333333336</v>
      </c>
      <c r="D2">
        <v>8.6999999999999994E-2</v>
      </c>
      <c r="E2">
        <f>282.18*D2-28.951</f>
        <v>-4.4013400000000011</v>
      </c>
      <c r="G2">
        <v>10</v>
      </c>
      <c r="H2">
        <v>0.129</v>
      </c>
    </row>
    <row r="3" spans="1:12" x14ac:dyDescent="0.2">
      <c r="A3" t="s">
        <v>21</v>
      </c>
      <c r="B3" s="1">
        <v>45924.666666666664</v>
      </c>
      <c r="C3" s="1">
        <v>45924.708333333336</v>
      </c>
      <c r="D3">
        <v>9.4E-2</v>
      </c>
      <c r="E3">
        <f t="shared" ref="E3:E17" si="0">282.18*D3-28.951</f>
        <v>-2.4260799999999989</v>
      </c>
      <c r="G3">
        <v>25</v>
      </c>
      <c r="H3">
        <v>0.19800000000000001</v>
      </c>
    </row>
    <row r="4" spans="1:12" x14ac:dyDescent="0.2">
      <c r="A4" t="s">
        <v>22</v>
      </c>
      <c r="B4" s="1">
        <v>45924.666666666664</v>
      </c>
      <c r="C4" s="1">
        <v>45924.708333333336</v>
      </c>
      <c r="D4">
        <v>0.09</v>
      </c>
      <c r="E4">
        <f t="shared" si="0"/>
        <v>-3.5548000000000002</v>
      </c>
      <c r="G4">
        <v>50</v>
      </c>
      <c r="H4">
        <v>0.28699999999999998</v>
      </c>
    </row>
    <row r="5" spans="1:12" x14ac:dyDescent="0.2">
      <c r="A5" t="s">
        <v>23</v>
      </c>
      <c r="B5" s="1">
        <v>45924.666666666664</v>
      </c>
      <c r="C5" s="1">
        <v>45924.708333333336</v>
      </c>
      <c r="D5">
        <v>8.8999999999999996E-2</v>
      </c>
      <c r="E5">
        <f t="shared" si="0"/>
        <v>-3.8369800000000005</v>
      </c>
      <c r="G5">
        <v>100</v>
      </c>
      <c r="H5">
        <v>0.45200000000000001</v>
      </c>
    </row>
    <row r="6" spans="1:12" x14ac:dyDescent="0.2">
      <c r="A6" t="s">
        <v>47</v>
      </c>
      <c r="B6" s="1">
        <v>45926.600694444445</v>
      </c>
      <c r="C6" s="1">
        <v>45926.642361111109</v>
      </c>
      <c r="D6">
        <v>9.6000000000000002E-2</v>
      </c>
      <c r="E6">
        <f t="shared" si="0"/>
        <v>-1.8617199999999983</v>
      </c>
    </row>
    <row r="7" spans="1:12" x14ac:dyDescent="0.2">
      <c r="A7" t="s">
        <v>48</v>
      </c>
      <c r="B7" s="1">
        <v>45926.600694444445</v>
      </c>
      <c r="C7" s="1">
        <v>45926.642361111109</v>
      </c>
      <c r="D7">
        <v>9.6000000000000002E-2</v>
      </c>
      <c r="E7">
        <f t="shared" si="0"/>
        <v>-1.8617199999999983</v>
      </c>
    </row>
    <row r="8" spans="1:12" x14ac:dyDescent="0.2">
      <c r="A8" t="s">
        <v>49</v>
      </c>
      <c r="B8" s="1">
        <v>45926.600694444445</v>
      </c>
      <c r="C8" s="1">
        <v>45926.642361111109</v>
      </c>
      <c r="D8">
        <v>9.7000000000000003E-2</v>
      </c>
      <c r="E8">
        <f t="shared" si="0"/>
        <v>-1.5795399999999979</v>
      </c>
    </row>
    <row r="9" spans="1:12" x14ac:dyDescent="0.2">
      <c r="A9" t="s">
        <v>50</v>
      </c>
      <c r="B9" s="1">
        <v>45926.600694444445</v>
      </c>
      <c r="C9" s="1">
        <v>45926.642361111109</v>
      </c>
      <c r="D9">
        <v>9.4E-2</v>
      </c>
      <c r="E9">
        <f t="shared" si="0"/>
        <v>-2.4260799999999989</v>
      </c>
    </row>
    <row r="10" spans="1:12" x14ac:dyDescent="0.2">
      <c r="A10" t="s">
        <v>195</v>
      </c>
      <c r="B10" s="1">
        <v>45931.552083333336</v>
      </c>
      <c r="C10" s="1">
        <v>45931.59375</v>
      </c>
      <c r="D10">
        <v>0.09</v>
      </c>
      <c r="E10">
        <f t="shared" si="0"/>
        <v>-3.5548000000000002</v>
      </c>
    </row>
    <row r="11" spans="1:12" x14ac:dyDescent="0.2">
      <c r="A11" t="s">
        <v>196</v>
      </c>
      <c r="B11" s="1">
        <v>45931.552083333336</v>
      </c>
      <c r="C11" s="1">
        <v>45931.59375</v>
      </c>
      <c r="D11">
        <v>8.7999999999999995E-2</v>
      </c>
      <c r="E11">
        <f t="shared" si="0"/>
        <v>-4.1191600000000008</v>
      </c>
    </row>
    <row r="12" spans="1:12" x14ac:dyDescent="0.2">
      <c r="A12" t="s">
        <v>197</v>
      </c>
      <c r="B12" s="1">
        <v>45931.552083333336</v>
      </c>
      <c r="C12" s="1">
        <v>45931.59375</v>
      </c>
      <c r="D12">
        <v>9.4E-2</v>
      </c>
      <c r="E12">
        <f t="shared" si="0"/>
        <v>-2.4260799999999989</v>
      </c>
    </row>
    <row r="13" spans="1:12" x14ac:dyDescent="0.2">
      <c r="A13" t="s">
        <v>198</v>
      </c>
      <c r="B13" s="1">
        <v>45931.552083333336</v>
      </c>
      <c r="C13" s="1">
        <v>45931.59375</v>
      </c>
      <c r="D13">
        <v>9.5000000000000001E-2</v>
      </c>
      <c r="E13">
        <f t="shared" si="0"/>
        <v>-2.1438999999999986</v>
      </c>
    </row>
    <row r="14" spans="1:12" x14ac:dyDescent="0.2">
      <c r="A14" t="s">
        <v>289</v>
      </c>
      <c r="B14" s="1">
        <v>45936.59375</v>
      </c>
      <c r="C14" s="1">
        <v>45936.635416666664</v>
      </c>
      <c r="D14">
        <v>0.09</v>
      </c>
      <c r="E14">
        <f t="shared" si="0"/>
        <v>-3.5548000000000002</v>
      </c>
    </row>
    <row r="15" spans="1:12" x14ac:dyDescent="0.2">
      <c r="A15" t="s">
        <v>290</v>
      </c>
      <c r="B15" s="1">
        <v>45936.59375</v>
      </c>
      <c r="C15" s="1">
        <v>45936.635416666664</v>
      </c>
      <c r="D15">
        <v>9.0999999999999998E-2</v>
      </c>
      <c r="E15">
        <f t="shared" si="0"/>
        <v>-3.2726199999999999</v>
      </c>
    </row>
    <row r="16" spans="1:12" x14ac:dyDescent="0.2">
      <c r="A16" t="s">
        <v>291</v>
      </c>
      <c r="B16" s="1">
        <v>45936.59375</v>
      </c>
      <c r="C16" s="1">
        <v>45936.635416666664</v>
      </c>
      <c r="D16">
        <v>9.4E-2</v>
      </c>
      <c r="E16">
        <f t="shared" si="0"/>
        <v>-2.4260799999999989</v>
      </c>
    </row>
    <row r="17" spans="1:5" x14ac:dyDescent="0.2">
      <c r="A17" t="s">
        <v>292</v>
      </c>
      <c r="B17" s="1">
        <v>45936.59375</v>
      </c>
      <c r="C17" s="1">
        <v>45936.635416666664</v>
      </c>
      <c r="D17">
        <v>0.16200000000000001</v>
      </c>
      <c r="E17">
        <f t="shared" si="0"/>
        <v>16.762160000000002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F59F-AB87-404D-AFD3-7683E8E88CAC}">
  <dimension ref="A1:H1"/>
  <sheetViews>
    <sheetView workbookViewId="0">
      <selection sqref="A1:H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C8F7-0C5B-6045-992F-0FD6B0162923}">
  <dimension ref="A1:J81"/>
  <sheetViews>
    <sheetView topLeftCell="A36" zoomScale="118" workbookViewId="0">
      <selection activeCell="H70" sqref="H70"/>
    </sheetView>
  </sheetViews>
  <sheetFormatPr baseColWidth="10" defaultRowHeight="16" x14ac:dyDescent="0.2"/>
  <cols>
    <col min="3" max="3" width="13.33203125" customWidth="1"/>
  </cols>
  <sheetData>
    <row r="1" spans="1:10" x14ac:dyDescent="0.2">
      <c r="A1" t="s">
        <v>162</v>
      </c>
      <c r="B1" t="s">
        <v>163</v>
      </c>
      <c r="C1" t="s">
        <v>0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</row>
    <row r="2" spans="1:10" x14ac:dyDescent="0.2">
      <c r="A2">
        <v>12.09</v>
      </c>
      <c r="B2" t="s">
        <v>171</v>
      </c>
      <c r="C2" t="str">
        <f>_xlfn.CONCAT("F",B2,"-",A2)</f>
        <v>FP1-12.09</v>
      </c>
      <c r="D2">
        <v>0.314</v>
      </c>
      <c r="E2">
        <v>1</v>
      </c>
      <c r="F2">
        <f>($J$11*AVERAGE(D2:D2)+$J$12)*E2</f>
        <v>16.045509352517985</v>
      </c>
      <c r="G2">
        <v>50</v>
      </c>
      <c r="H2">
        <v>0.873</v>
      </c>
      <c r="I2">
        <v>0.90200000000000002</v>
      </c>
      <c r="J2">
        <f>AVERAGE(H2:I2)</f>
        <v>0.88749999999999996</v>
      </c>
    </row>
    <row r="3" spans="1:10" x14ac:dyDescent="0.2">
      <c r="A3">
        <v>12.09</v>
      </c>
      <c r="B3" t="s">
        <v>172</v>
      </c>
      <c r="C3" t="str">
        <f t="shared" ref="C3:C13" si="0">_xlfn.CONCAT("F",B3,"-",A3)</f>
        <v>Fcontrol-12.09</v>
      </c>
      <c r="D3">
        <v>0.22700000000000001</v>
      </c>
      <c r="E3">
        <v>1</v>
      </c>
      <c r="F3">
        <f t="shared" ref="F3:F66" si="1">($J$11*AVERAGE(D3:D3)+$J$12)*E3</f>
        <v>10.929784172661869</v>
      </c>
      <c r="G3">
        <v>40</v>
      </c>
      <c r="H3">
        <v>0.71499999999999997</v>
      </c>
      <c r="I3">
        <v>0.74</v>
      </c>
      <c r="J3">
        <f t="shared" ref="J3:J9" si="2">AVERAGE(H3:I3)</f>
        <v>0.72750000000000004</v>
      </c>
    </row>
    <row r="4" spans="1:10" x14ac:dyDescent="0.2">
      <c r="A4">
        <v>12.09</v>
      </c>
      <c r="B4" t="s">
        <v>173</v>
      </c>
      <c r="C4" t="str">
        <f t="shared" si="0"/>
        <v>F19-20B-12.09</v>
      </c>
      <c r="D4">
        <v>0.20499999999999999</v>
      </c>
      <c r="E4">
        <v>1</v>
      </c>
      <c r="F4">
        <f t="shared" si="1"/>
        <v>9.6361525179856091</v>
      </c>
      <c r="G4">
        <v>30</v>
      </c>
      <c r="H4">
        <v>0.57499999999999996</v>
      </c>
      <c r="I4">
        <v>0.47399999999999998</v>
      </c>
      <c r="J4">
        <f t="shared" si="2"/>
        <v>0.52449999999999997</v>
      </c>
    </row>
    <row r="5" spans="1:10" x14ac:dyDescent="0.2">
      <c r="A5">
        <v>12.09</v>
      </c>
      <c r="B5" t="s">
        <v>174</v>
      </c>
      <c r="C5" t="str">
        <f t="shared" si="0"/>
        <v>F13-14A-12.09</v>
      </c>
      <c r="D5">
        <v>5.8999999999999997E-2</v>
      </c>
      <c r="E5">
        <v>1</v>
      </c>
      <c r="F5">
        <f t="shared" si="1"/>
        <v>1.0511424460431615</v>
      </c>
      <c r="G5">
        <v>20</v>
      </c>
      <c r="H5">
        <v>0.39900000000000002</v>
      </c>
      <c r="I5">
        <v>0.41299999999999998</v>
      </c>
      <c r="J5">
        <f t="shared" si="2"/>
        <v>0.40600000000000003</v>
      </c>
    </row>
    <row r="6" spans="1:10" x14ac:dyDescent="0.2">
      <c r="A6">
        <v>12.09</v>
      </c>
      <c r="B6" t="s">
        <v>175</v>
      </c>
      <c r="C6" t="str">
        <f t="shared" si="0"/>
        <v>F13-14B-12.09</v>
      </c>
      <c r="D6">
        <v>0.17199999999999999</v>
      </c>
      <c r="E6">
        <v>1</v>
      </c>
      <c r="F6">
        <f t="shared" si="1"/>
        <v>7.6957050359712191</v>
      </c>
      <c r="G6">
        <v>10</v>
      </c>
      <c r="H6">
        <v>0.22600000000000001</v>
      </c>
      <c r="I6">
        <v>0.22900000000000001</v>
      </c>
      <c r="J6">
        <f t="shared" si="2"/>
        <v>0.22750000000000001</v>
      </c>
    </row>
    <row r="7" spans="1:10" x14ac:dyDescent="0.2">
      <c r="A7">
        <v>12.09</v>
      </c>
      <c r="B7" t="s">
        <v>176</v>
      </c>
      <c r="C7" t="str">
        <f t="shared" si="0"/>
        <v>F17-18B-12.09</v>
      </c>
      <c r="D7">
        <v>6.9000000000000006E-2</v>
      </c>
      <c r="E7">
        <v>1</v>
      </c>
      <c r="F7">
        <f t="shared" si="1"/>
        <v>1.639156834532371</v>
      </c>
      <c r="G7">
        <v>5</v>
      </c>
      <c r="H7">
        <v>0.128</v>
      </c>
      <c r="I7">
        <v>0.13</v>
      </c>
      <c r="J7">
        <f t="shared" si="2"/>
        <v>0.129</v>
      </c>
    </row>
    <row r="8" spans="1:10" x14ac:dyDescent="0.2">
      <c r="A8">
        <v>12.09</v>
      </c>
      <c r="B8" t="s">
        <v>177</v>
      </c>
      <c r="C8" t="str">
        <f t="shared" si="0"/>
        <v>F16-17B-12.09</v>
      </c>
      <c r="D8">
        <v>9.9000000000000005E-2</v>
      </c>
      <c r="E8">
        <v>1</v>
      </c>
      <c r="F8">
        <f t="shared" si="1"/>
        <v>3.4031999999999965</v>
      </c>
      <c r="G8">
        <v>2</v>
      </c>
      <c r="H8">
        <v>7.0000000000000007E-2</v>
      </c>
      <c r="I8">
        <v>6.8000000000000005E-2</v>
      </c>
      <c r="J8">
        <f t="shared" si="2"/>
        <v>6.9000000000000006E-2</v>
      </c>
    </row>
    <row r="9" spans="1:10" x14ac:dyDescent="0.2">
      <c r="A9">
        <v>12.09</v>
      </c>
      <c r="B9" t="s">
        <v>178</v>
      </c>
      <c r="C9" t="str">
        <f t="shared" si="0"/>
        <v>F17-18A-12.09</v>
      </c>
      <c r="D9">
        <v>8.6999999999999994E-2</v>
      </c>
      <c r="E9">
        <v>1</v>
      </c>
      <c r="F9">
        <f t="shared" si="1"/>
        <v>2.6975827338129461</v>
      </c>
      <c r="G9">
        <v>1</v>
      </c>
      <c r="H9">
        <v>5.0999999999999997E-2</v>
      </c>
      <c r="I9">
        <v>3.9E-2</v>
      </c>
      <c r="J9">
        <f t="shared" si="2"/>
        <v>4.4999999999999998E-2</v>
      </c>
    </row>
    <row r="10" spans="1:10" x14ac:dyDescent="0.2">
      <c r="A10">
        <v>12.09</v>
      </c>
      <c r="B10" t="s">
        <v>179</v>
      </c>
      <c r="C10" t="str">
        <f t="shared" si="0"/>
        <v>F18-19-12.09</v>
      </c>
      <c r="D10">
        <v>0.09</v>
      </c>
      <c r="E10">
        <v>1</v>
      </c>
      <c r="F10">
        <f t="shared" si="1"/>
        <v>2.8739870503597089</v>
      </c>
    </row>
    <row r="11" spans="1:10" x14ac:dyDescent="0.2">
      <c r="A11">
        <v>12.09</v>
      </c>
      <c r="B11" t="s">
        <v>180</v>
      </c>
      <c r="C11" t="str">
        <f t="shared" si="0"/>
        <v>F19-20A-12.09</v>
      </c>
      <c r="D11">
        <v>5.8000000000000003E-2</v>
      </c>
      <c r="E11">
        <v>1</v>
      </c>
      <c r="F11">
        <f t="shared" si="1"/>
        <v>0.9923410071942409</v>
      </c>
      <c r="I11" t="s">
        <v>384</v>
      </c>
      <c r="J11">
        <f>SLOPE(G2:G9,J2:J9)</f>
        <v>58.801438848920874</v>
      </c>
    </row>
    <row r="12" spans="1:10" x14ac:dyDescent="0.2">
      <c r="A12">
        <v>12.09</v>
      </c>
      <c r="B12" t="s">
        <v>181</v>
      </c>
      <c r="C12" t="str">
        <f t="shared" si="0"/>
        <v>F16-17A-12.09</v>
      </c>
      <c r="D12">
        <v>0.16700000000000001</v>
      </c>
      <c r="E12">
        <v>1</v>
      </c>
      <c r="F12">
        <f t="shared" si="1"/>
        <v>7.4016978417266159</v>
      </c>
      <c r="I12" t="s">
        <v>385</v>
      </c>
      <c r="J12">
        <f>INTERCEPT(G2:G9,J2:J9)</f>
        <v>-2.41814244604317</v>
      </c>
    </row>
    <row r="13" spans="1:10" x14ac:dyDescent="0.2">
      <c r="A13">
        <v>14.09</v>
      </c>
      <c r="B13" t="s">
        <v>171</v>
      </c>
      <c r="C13" t="str">
        <f t="shared" si="0"/>
        <v>FP1-14.09</v>
      </c>
      <c r="D13">
        <v>0.64200000000000002</v>
      </c>
      <c r="E13">
        <v>4</v>
      </c>
      <c r="F13">
        <f t="shared" si="1"/>
        <v>141.32952517985612</v>
      </c>
    </row>
    <row r="14" spans="1:10" x14ac:dyDescent="0.2">
      <c r="C14" t="s">
        <v>182</v>
      </c>
      <c r="D14">
        <v>0.126</v>
      </c>
      <c r="E14">
        <v>4</v>
      </c>
      <c r="F14">
        <f t="shared" si="1"/>
        <v>19.96335539568344</v>
      </c>
    </row>
    <row r="15" spans="1:10" x14ac:dyDescent="0.2">
      <c r="C15" t="s">
        <v>10</v>
      </c>
      <c r="D15">
        <v>0.19800000000000001</v>
      </c>
      <c r="E15">
        <v>4</v>
      </c>
      <c r="F15">
        <f t="shared" si="1"/>
        <v>36.898169784172651</v>
      </c>
    </row>
    <row r="16" spans="1:10" x14ac:dyDescent="0.2">
      <c r="C16" t="s">
        <v>28</v>
      </c>
      <c r="D16">
        <v>0.19</v>
      </c>
      <c r="E16">
        <v>4</v>
      </c>
      <c r="F16">
        <f t="shared" si="1"/>
        <v>35.016523741007184</v>
      </c>
    </row>
    <row r="17" spans="3:6" x14ac:dyDescent="0.2">
      <c r="C17" t="s">
        <v>57</v>
      </c>
      <c r="D17">
        <v>0.17899999999999999</v>
      </c>
      <c r="E17">
        <v>4</v>
      </c>
      <c r="F17">
        <f t="shared" si="1"/>
        <v>32.429260431654662</v>
      </c>
    </row>
    <row r="18" spans="3:6" x14ac:dyDescent="0.2">
      <c r="C18" t="s">
        <v>65</v>
      </c>
      <c r="D18">
        <v>0.19700000000000001</v>
      </c>
      <c r="E18">
        <v>4</v>
      </c>
      <c r="F18">
        <f t="shared" si="1"/>
        <v>36.662964028776969</v>
      </c>
    </row>
    <row r="19" spans="3:6" x14ac:dyDescent="0.2">
      <c r="C19" t="s">
        <v>69</v>
      </c>
      <c r="D19">
        <v>0.183</v>
      </c>
      <c r="E19">
        <v>4</v>
      </c>
      <c r="F19">
        <f t="shared" si="1"/>
        <v>33.370083453237399</v>
      </c>
    </row>
    <row r="20" spans="3:6" x14ac:dyDescent="0.2">
      <c r="C20" t="s">
        <v>183</v>
      </c>
      <c r="D20">
        <v>3.5000000000000003E-2</v>
      </c>
      <c r="E20">
        <v>4</v>
      </c>
      <c r="F20">
        <f t="shared" si="1"/>
        <v>-1.4403683453237566</v>
      </c>
    </row>
    <row r="21" spans="3:6" x14ac:dyDescent="0.2">
      <c r="C21" t="s">
        <v>13</v>
      </c>
      <c r="D21">
        <v>0.81399999999999995</v>
      </c>
      <c r="E21">
        <v>20</v>
      </c>
      <c r="F21">
        <f t="shared" si="1"/>
        <v>908.92457553956831</v>
      </c>
    </row>
    <row r="22" spans="3:6" x14ac:dyDescent="0.2">
      <c r="C22" t="s">
        <v>33</v>
      </c>
      <c r="D22">
        <v>0.68300000000000005</v>
      </c>
      <c r="E22">
        <v>20</v>
      </c>
      <c r="F22">
        <f t="shared" si="1"/>
        <v>754.86480575539576</v>
      </c>
    </row>
    <row r="23" spans="3:6" x14ac:dyDescent="0.2">
      <c r="C23" t="s">
        <v>84</v>
      </c>
      <c r="D23">
        <v>0.51</v>
      </c>
      <c r="E23">
        <v>10</v>
      </c>
      <c r="F23">
        <f t="shared" si="1"/>
        <v>275.70591366906478</v>
      </c>
    </row>
    <row r="24" spans="3:6" x14ac:dyDescent="0.2">
      <c r="C24" t="s">
        <v>92</v>
      </c>
      <c r="D24">
        <v>0.38200000000000001</v>
      </c>
      <c r="E24">
        <v>10</v>
      </c>
      <c r="F24">
        <f t="shared" si="1"/>
        <v>200.44007194244602</v>
      </c>
    </row>
    <row r="25" spans="3:6" x14ac:dyDescent="0.2">
      <c r="C25" t="s">
        <v>95</v>
      </c>
      <c r="D25">
        <v>0.31</v>
      </c>
      <c r="E25">
        <v>10</v>
      </c>
      <c r="F25">
        <f t="shared" si="1"/>
        <v>158.10303597122299</v>
      </c>
    </row>
    <row r="26" spans="3:6" x14ac:dyDescent="0.2">
      <c r="C26" t="s">
        <v>184</v>
      </c>
      <c r="D26">
        <v>4.2000000000000003E-2</v>
      </c>
      <c r="E26">
        <v>4</v>
      </c>
      <c r="F26">
        <f t="shared" si="1"/>
        <v>0.20607194244602844</v>
      </c>
    </row>
    <row r="27" spans="3:6" x14ac:dyDescent="0.2">
      <c r="C27" t="s">
        <v>16</v>
      </c>
      <c r="D27">
        <v>0.67900000000000005</v>
      </c>
      <c r="E27">
        <v>20</v>
      </c>
      <c r="F27">
        <f t="shared" si="1"/>
        <v>750.16069064748206</v>
      </c>
    </row>
    <row r="28" spans="3:6" x14ac:dyDescent="0.2">
      <c r="C28" t="s">
        <v>38</v>
      </c>
      <c r="D28">
        <v>0.629</v>
      </c>
      <c r="E28">
        <v>20</v>
      </c>
      <c r="F28">
        <f t="shared" si="1"/>
        <v>691.35925179856122</v>
      </c>
    </row>
    <row r="29" spans="3:6" x14ac:dyDescent="0.2">
      <c r="C29" t="s">
        <v>111</v>
      </c>
      <c r="D29">
        <v>0.80700000000000005</v>
      </c>
      <c r="E29">
        <v>10</v>
      </c>
      <c r="F29">
        <f t="shared" si="1"/>
        <v>450.34618705035984</v>
      </c>
    </row>
    <row r="30" spans="3:6" x14ac:dyDescent="0.2">
      <c r="C30" t="s">
        <v>119</v>
      </c>
      <c r="D30">
        <v>0.626</v>
      </c>
      <c r="E30">
        <v>10</v>
      </c>
      <c r="F30">
        <f t="shared" si="1"/>
        <v>343.91558273381298</v>
      </c>
    </row>
    <row r="31" spans="3:6" x14ac:dyDescent="0.2">
      <c r="C31" t="s">
        <v>123</v>
      </c>
      <c r="D31">
        <v>0.55800000000000005</v>
      </c>
      <c r="E31">
        <v>10</v>
      </c>
      <c r="F31">
        <f t="shared" si="1"/>
        <v>303.93060431654681</v>
      </c>
    </row>
    <row r="32" spans="3:6" x14ac:dyDescent="0.2">
      <c r="C32" s="2" t="s">
        <v>185</v>
      </c>
      <c r="D32">
        <v>5.5E-2</v>
      </c>
      <c r="E32">
        <v>1</v>
      </c>
      <c r="F32">
        <f t="shared" si="1"/>
        <v>0.81593669064747809</v>
      </c>
    </row>
    <row r="33" spans="3:6" x14ac:dyDescent="0.2">
      <c r="C33" s="2" t="s">
        <v>19</v>
      </c>
      <c r="D33">
        <v>3.5999999999999997E-2</v>
      </c>
      <c r="E33">
        <v>1</v>
      </c>
      <c r="F33">
        <f t="shared" si="1"/>
        <v>-0.3012906474820185</v>
      </c>
    </row>
    <row r="34" spans="3:6" x14ac:dyDescent="0.2">
      <c r="C34" s="2" t="s">
        <v>43</v>
      </c>
      <c r="D34">
        <v>3.5000000000000003E-2</v>
      </c>
      <c r="E34">
        <v>1</v>
      </c>
      <c r="F34">
        <f t="shared" si="1"/>
        <v>-0.36009208633093914</v>
      </c>
    </row>
    <row r="35" spans="3:6" x14ac:dyDescent="0.2">
      <c r="C35" s="2" t="s">
        <v>138</v>
      </c>
      <c r="D35">
        <v>3.6999999999999998E-2</v>
      </c>
      <c r="E35">
        <v>1</v>
      </c>
      <c r="F35">
        <f t="shared" si="1"/>
        <v>-0.24248920863309786</v>
      </c>
    </row>
    <row r="36" spans="3:6" x14ac:dyDescent="0.2">
      <c r="C36" s="2" t="s">
        <v>146</v>
      </c>
      <c r="D36">
        <v>3.7999999999999999E-2</v>
      </c>
      <c r="E36">
        <v>1</v>
      </c>
      <c r="F36">
        <f t="shared" si="1"/>
        <v>-0.18368776978417678</v>
      </c>
    </row>
    <row r="37" spans="3:6" x14ac:dyDescent="0.2">
      <c r="C37" s="2" t="s">
        <v>150</v>
      </c>
      <c r="D37">
        <v>3.4000000000000002E-2</v>
      </c>
      <c r="E37">
        <v>1</v>
      </c>
      <c r="F37">
        <f t="shared" si="1"/>
        <v>-0.41889352517986</v>
      </c>
    </row>
    <row r="38" spans="3:6" x14ac:dyDescent="0.2">
      <c r="C38" s="2" t="s">
        <v>77</v>
      </c>
      <c r="D38">
        <v>0.159</v>
      </c>
      <c r="E38">
        <v>4</v>
      </c>
      <c r="F38">
        <f t="shared" si="1"/>
        <v>27.725145323740996</v>
      </c>
    </row>
    <row r="39" spans="3:6" x14ac:dyDescent="0.2">
      <c r="C39" s="2" t="s">
        <v>202</v>
      </c>
      <c r="D39">
        <v>0.16500000000000001</v>
      </c>
      <c r="E39">
        <v>4</v>
      </c>
      <c r="F39">
        <f t="shared" si="1"/>
        <v>29.136379856115099</v>
      </c>
    </row>
    <row r="40" spans="3:6" x14ac:dyDescent="0.2">
      <c r="C40" s="2" t="s">
        <v>104</v>
      </c>
      <c r="D40">
        <v>0.22900000000000001</v>
      </c>
      <c r="E40">
        <v>4</v>
      </c>
      <c r="F40">
        <f t="shared" si="1"/>
        <v>44.189548201438846</v>
      </c>
    </row>
    <row r="41" spans="3:6" x14ac:dyDescent="0.2">
      <c r="C41" s="2" t="s">
        <v>222</v>
      </c>
      <c r="D41">
        <v>0.126</v>
      </c>
      <c r="E41">
        <v>4</v>
      </c>
      <c r="F41">
        <f t="shared" si="1"/>
        <v>19.96335539568344</v>
      </c>
    </row>
    <row r="42" spans="3:6" x14ac:dyDescent="0.2">
      <c r="C42" s="2" t="s">
        <v>131</v>
      </c>
      <c r="D42">
        <v>0.84599999999999997</v>
      </c>
      <c r="E42">
        <v>4</v>
      </c>
      <c r="F42">
        <f t="shared" si="1"/>
        <v>189.31149928057556</v>
      </c>
    </row>
    <row r="43" spans="3:6" x14ac:dyDescent="0.2">
      <c r="C43" s="2" t="s">
        <v>242</v>
      </c>
      <c r="D43">
        <v>0.79</v>
      </c>
      <c r="E43">
        <v>4</v>
      </c>
      <c r="F43">
        <f t="shared" si="1"/>
        <v>176.13997697841728</v>
      </c>
    </row>
    <row r="44" spans="3:6" x14ac:dyDescent="0.2">
      <c r="C44" s="2" t="s">
        <v>158</v>
      </c>
      <c r="D44">
        <v>3.1E-2</v>
      </c>
      <c r="E44">
        <v>1</v>
      </c>
      <c r="F44">
        <f t="shared" si="1"/>
        <v>-0.59529784172662281</v>
      </c>
    </row>
    <row r="45" spans="3:6" x14ac:dyDescent="0.2">
      <c r="C45" s="2" t="s">
        <v>262</v>
      </c>
      <c r="D45">
        <v>3.1E-2</v>
      </c>
      <c r="E45">
        <v>1</v>
      </c>
      <c r="F45">
        <f t="shared" si="1"/>
        <v>-0.59529784172662281</v>
      </c>
    </row>
    <row r="46" spans="3:6" x14ac:dyDescent="0.2">
      <c r="C46" s="2" t="s">
        <v>206</v>
      </c>
      <c r="D46">
        <v>0.51100000000000001</v>
      </c>
      <c r="E46">
        <v>1</v>
      </c>
      <c r="F46">
        <f t="shared" si="1"/>
        <v>27.629392805755398</v>
      </c>
    </row>
    <row r="47" spans="3:6" x14ac:dyDescent="0.2">
      <c r="C47" s="2" t="s">
        <v>210</v>
      </c>
      <c r="D47">
        <v>0.48199999999999998</v>
      </c>
      <c r="E47">
        <v>1</v>
      </c>
      <c r="F47">
        <f t="shared" si="1"/>
        <v>25.924151079136692</v>
      </c>
    </row>
    <row r="48" spans="3:6" x14ac:dyDescent="0.2">
      <c r="C48" s="2" t="s">
        <v>226</v>
      </c>
      <c r="D48">
        <v>0.193</v>
      </c>
      <c r="E48">
        <v>1</v>
      </c>
      <c r="F48">
        <f t="shared" si="1"/>
        <v>8.9305352517985597</v>
      </c>
    </row>
    <row r="49" spans="3:6" x14ac:dyDescent="0.2">
      <c r="C49" s="2" t="s">
        <v>230</v>
      </c>
      <c r="D49">
        <v>0.29399999999999998</v>
      </c>
      <c r="E49">
        <v>1</v>
      </c>
      <c r="F49">
        <f t="shared" si="1"/>
        <v>14.869480575539566</v>
      </c>
    </row>
    <row r="50" spans="3:6" x14ac:dyDescent="0.2">
      <c r="C50" s="2" t="s">
        <v>246</v>
      </c>
      <c r="D50">
        <v>0.67100000000000004</v>
      </c>
      <c r="E50">
        <v>4</v>
      </c>
      <c r="F50">
        <f t="shared" si="1"/>
        <v>148.15049208633096</v>
      </c>
    </row>
    <row r="51" spans="3:6" x14ac:dyDescent="0.2">
      <c r="C51" s="2" t="s">
        <v>250</v>
      </c>
      <c r="D51">
        <v>0.59399999999999997</v>
      </c>
      <c r="E51">
        <v>4</v>
      </c>
      <c r="F51">
        <f t="shared" si="1"/>
        <v>130.0396489208633</v>
      </c>
    </row>
    <row r="52" spans="3:6" x14ac:dyDescent="0.2">
      <c r="C52" s="2" t="s">
        <v>266</v>
      </c>
      <c r="D52">
        <v>3.5000000000000003E-2</v>
      </c>
      <c r="E52">
        <v>1</v>
      </c>
      <c r="F52">
        <f t="shared" si="1"/>
        <v>-0.36009208633093914</v>
      </c>
    </row>
    <row r="53" spans="3:6" x14ac:dyDescent="0.2">
      <c r="C53" s="2" t="s">
        <v>270</v>
      </c>
      <c r="D53">
        <v>3.1E-2</v>
      </c>
      <c r="E53">
        <v>1</v>
      </c>
      <c r="F53">
        <f t="shared" si="1"/>
        <v>-0.59529784172662281</v>
      </c>
    </row>
    <row r="54" spans="3:6" x14ac:dyDescent="0.2">
      <c r="C54" s="2" t="s">
        <v>218</v>
      </c>
      <c r="D54">
        <v>0.48399999999999999</v>
      </c>
      <c r="E54">
        <v>1</v>
      </c>
      <c r="F54">
        <f t="shared" si="1"/>
        <v>26.041753956834533</v>
      </c>
    </row>
    <row r="55" spans="3:6" x14ac:dyDescent="0.2">
      <c r="C55" s="2" t="s">
        <v>238</v>
      </c>
      <c r="D55">
        <v>0.58799999999999997</v>
      </c>
      <c r="E55">
        <v>1</v>
      </c>
      <c r="F55">
        <f t="shared" si="1"/>
        <v>32.157103597122301</v>
      </c>
    </row>
    <row r="56" spans="3:6" x14ac:dyDescent="0.2">
      <c r="C56" s="2" t="s">
        <v>258</v>
      </c>
      <c r="D56">
        <v>0.82299999999999995</v>
      </c>
      <c r="E56">
        <v>1</v>
      </c>
      <c r="F56">
        <f t="shared" si="1"/>
        <v>45.975441726618705</v>
      </c>
    </row>
    <row r="57" spans="3:6" x14ac:dyDescent="0.2">
      <c r="C57" s="2" t="s">
        <v>278</v>
      </c>
      <c r="D57">
        <v>3.5999999999999997E-2</v>
      </c>
      <c r="E57">
        <v>1</v>
      </c>
      <c r="F57">
        <f t="shared" si="1"/>
        <v>-0.3012906474820185</v>
      </c>
    </row>
    <row r="58" spans="3:6" x14ac:dyDescent="0.2">
      <c r="C58" s="2" t="s">
        <v>313</v>
      </c>
      <c r="D58">
        <v>0.67900000000000005</v>
      </c>
      <c r="E58">
        <v>1</v>
      </c>
      <c r="F58">
        <f t="shared" si="1"/>
        <v>37.508034532374104</v>
      </c>
    </row>
    <row r="59" spans="3:6" x14ac:dyDescent="0.2">
      <c r="C59" s="2" t="s">
        <v>314</v>
      </c>
      <c r="D59">
        <v>0.66900000000000004</v>
      </c>
      <c r="E59">
        <v>1</v>
      </c>
      <c r="F59">
        <f t="shared" si="1"/>
        <v>36.920020143884898</v>
      </c>
    </row>
    <row r="60" spans="3:6" x14ac:dyDescent="0.2">
      <c r="C60" s="2" t="s">
        <v>315</v>
      </c>
      <c r="D60">
        <v>0.64300000000000002</v>
      </c>
      <c r="E60">
        <v>1</v>
      </c>
      <c r="F60">
        <f t="shared" si="1"/>
        <v>35.391182733812954</v>
      </c>
    </row>
    <row r="61" spans="3:6" x14ac:dyDescent="0.2">
      <c r="C61" s="2" t="s">
        <v>316</v>
      </c>
      <c r="D61">
        <v>0.627</v>
      </c>
      <c r="E61">
        <v>1</v>
      </c>
      <c r="F61">
        <f t="shared" si="1"/>
        <v>34.450359712230217</v>
      </c>
    </row>
    <row r="62" spans="3:6" x14ac:dyDescent="0.2">
      <c r="C62" s="2" t="s">
        <v>337</v>
      </c>
      <c r="D62">
        <v>0.61399999999999999</v>
      </c>
      <c r="E62">
        <v>1</v>
      </c>
      <c r="F62">
        <f t="shared" si="1"/>
        <v>33.685941007194245</v>
      </c>
    </row>
    <row r="63" spans="3:6" x14ac:dyDescent="0.2">
      <c r="C63" s="2" t="s">
        <v>338</v>
      </c>
      <c r="D63">
        <v>0.53400000000000003</v>
      </c>
      <c r="E63">
        <v>1</v>
      </c>
      <c r="F63">
        <f t="shared" si="1"/>
        <v>28.98182589928058</v>
      </c>
    </row>
    <row r="64" spans="3:6" x14ac:dyDescent="0.2">
      <c r="C64" s="2" t="s">
        <v>339</v>
      </c>
      <c r="D64">
        <v>0.43099999999999999</v>
      </c>
      <c r="E64">
        <v>1</v>
      </c>
      <c r="F64">
        <f t="shared" si="1"/>
        <v>22.925277697841725</v>
      </c>
    </row>
    <row r="65" spans="3:6" x14ac:dyDescent="0.2">
      <c r="C65" s="2" t="s">
        <v>340</v>
      </c>
      <c r="D65">
        <v>0.38100000000000001</v>
      </c>
      <c r="E65">
        <v>1</v>
      </c>
      <c r="F65">
        <f t="shared" si="1"/>
        <v>19.985205755395683</v>
      </c>
    </row>
    <row r="66" spans="3:6" x14ac:dyDescent="0.2">
      <c r="C66" s="2" t="s">
        <v>286</v>
      </c>
      <c r="D66">
        <v>0.48699999999999999</v>
      </c>
      <c r="E66">
        <v>1</v>
      </c>
      <c r="F66">
        <f t="shared" si="1"/>
        <v>26.218158273381295</v>
      </c>
    </row>
    <row r="67" spans="3:6" x14ac:dyDescent="0.2">
      <c r="C67" s="2" t="s">
        <v>319</v>
      </c>
      <c r="D67">
        <v>0.64100000000000001</v>
      </c>
      <c r="E67">
        <v>1</v>
      </c>
      <c r="F67">
        <f t="shared" ref="F67:F81" si="3">($J$11*AVERAGE(D67:D67)+$J$12)*E67</f>
        <v>35.273579856115113</v>
      </c>
    </row>
    <row r="68" spans="3:6" x14ac:dyDescent="0.2">
      <c r="C68" s="2" t="s">
        <v>343</v>
      </c>
      <c r="D68">
        <v>0.31900000000000001</v>
      </c>
      <c r="E68">
        <v>1</v>
      </c>
      <c r="F68">
        <f t="shared" si="3"/>
        <v>16.339516546762589</v>
      </c>
    </row>
    <row r="69" spans="3:6" x14ac:dyDescent="0.2">
      <c r="C69" s="2" t="s">
        <v>367</v>
      </c>
      <c r="D69">
        <v>2.9000000000000001E-2</v>
      </c>
      <c r="E69">
        <v>1</v>
      </c>
      <c r="F69">
        <f t="shared" si="3"/>
        <v>-0.71290071942446454</v>
      </c>
    </row>
    <row r="70" spans="3:6" x14ac:dyDescent="0.2">
      <c r="C70" s="2" t="s">
        <v>299</v>
      </c>
      <c r="D70">
        <v>0.48</v>
      </c>
      <c r="E70">
        <v>1</v>
      </c>
      <c r="F70">
        <f t="shared" si="3"/>
        <v>25.806548201438847</v>
      </c>
    </row>
    <row r="71" spans="3:6" x14ac:dyDescent="0.2">
      <c r="C71" s="2" t="s">
        <v>302</v>
      </c>
      <c r="D71">
        <v>0.504</v>
      </c>
      <c r="E71">
        <v>1</v>
      </c>
      <c r="F71">
        <f t="shared" si="3"/>
        <v>27.21778273381295</v>
      </c>
    </row>
    <row r="72" spans="3:6" x14ac:dyDescent="0.2">
      <c r="C72" s="2" t="s">
        <v>446</v>
      </c>
      <c r="D72">
        <v>0.51700000000000002</v>
      </c>
      <c r="E72">
        <v>1</v>
      </c>
      <c r="F72">
        <f t="shared" si="3"/>
        <v>27.982201438848922</v>
      </c>
    </row>
    <row r="73" spans="3:6" x14ac:dyDescent="0.2">
      <c r="C73" s="2" t="s">
        <v>323</v>
      </c>
      <c r="D73">
        <v>0.68500000000000005</v>
      </c>
      <c r="E73">
        <v>1</v>
      </c>
      <c r="F73">
        <f t="shared" si="3"/>
        <v>37.860843165467635</v>
      </c>
    </row>
    <row r="74" spans="3:6" x14ac:dyDescent="0.2">
      <c r="C74" s="2" t="s">
        <v>326</v>
      </c>
      <c r="D74">
        <v>0.72</v>
      </c>
      <c r="E74">
        <v>1</v>
      </c>
      <c r="F74">
        <f t="shared" si="3"/>
        <v>39.918893525179861</v>
      </c>
    </row>
    <row r="75" spans="3:6" x14ac:dyDescent="0.2">
      <c r="C75" s="2" t="s">
        <v>448</v>
      </c>
      <c r="D75">
        <v>0.746</v>
      </c>
      <c r="E75">
        <v>1</v>
      </c>
      <c r="F75">
        <f t="shared" si="3"/>
        <v>41.447730935251805</v>
      </c>
    </row>
    <row r="76" spans="3:6" x14ac:dyDescent="0.2">
      <c r="C76" s="2" t="s">
        <v>347</v>
      </c>
      <c r="D76">
        <v>0.313</v>
      </c>
      <c r="E76">
        <v>1</v>
      </c>
      <c r="F76">
        <f t="shared" si="3"/>
        <v>15.986707913669065</v>
      </c>
    </row>
    <row r="77" spans="3:6" x14ac:dyDescent="0.2">
      <c r="C77" s="2" t="s">
        <v>350</v>
      </c>
      <c r="D77">
        <v>0.253</v>
      </c>
      <c r="E77">
        <v>1</v>
      </c>
      <c r="F77">
        <f t="shared" si="3"/>
        <v>12.45862158273381</v>
      </c>
    </row>
    <row r="78" spans="3:6" x14ac:dyDescent="0.2">
      <c r="C78" s="2" t="s">
        <v>450</v>
      </c>
      <c r="D78">
        <v>0.24199999999999999</v>
      </c>
      <c r="E78">
        <v>1</v>
      </c>
      <c r="F78">
        <f t="shared" si="3"/>
        <v>11.811805755395682</v>
      </c>
    </row>
    <row r="79" spans="3:6" x14ac:dyDescent="0.2">
      <c r="C79" s="2" t="s">
        <v>371</v>
      </c>
      <c r="D79">
        <v>3.1E-2</v>
      </c>
      <c r="E79">
        <v>1</v>
      </c>
      <c r="F79">
        <f t="shared" si="3"/>
        <v>-0.59529784172662281</v>
      </c>
    </row>
    <row r="80" spans="3:6" x14ac:dyDescent="0.2">
      <c r="C80" s="2" t="s">
        <v>374</v>
      </c>
      <c r="D80">
        <v>3.1E-2</v>
      </c>
      <c r="E80">
        <v>1</v>
      </c>
      <c r="F80">
        <f t="shared" si="3"/>
        <v>-0.59529784172662281</v>
      </c>
    </row>
    <row r="81" spans="3:6" x14ac:dyDescent="0.2">
      <c r="C81" s="2" t="s">
        <v>452</v>
      </c>
      <c r="D81">
        <v>3.7999999999999999E-2</v>
      </c>
      <c r="E81">
        <v>1</v>
      </c>
      <c r="F81">
        <f t="shared" si="3"/>
        <v>-0.18368776978417678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340C-AD4C-5C4F-8F00-4A8EC30B67C5}">
  <dimension ref="A1:M13"/>
  <sheetViews>
    <sheetView workbookViewId="0">
      <selection activeCell="H4" sqref="H4"/>
    </sheetView>
  </sheetViews>
  <sheetFormatPr baseColWidth="10" defaultRowHeight="16" x14ac:dyDescent="0.2"/>
  <cols>
    <col min="6" max="6" width="19.1640625" bestFit="1" customWidth="1"/>
  </cols>
  <sheetData>
    <row r="1" spans="1:13" x14ac:dyDescent="0.2">
      <c r="A1" t="s">
        <v>188</v>
      </c>
      <c r="B1" t="s">
        <v>189</v>
      </c>
      <c r="C1" t="s">
        <v>190</v>
      </c>
      <c r="D1" t="s">
        <v>164</v>
      </c>
      <c r="E1" t="s">
        <v>191</v>
      </c>
      <c r="F1" t="s">
        <v>159</v>
      </c>
      <c r="G1" t="s">
        <v>192</v>
      </c>
      <c r="I1" t="s">
        <v>167</v>
      </c>
      <c r="J1" t="s">
        <v>168</v>
      </c>
      <c r="K1" t="s">
        <v>169</v>
      </c>
      <c r="L1" t="s">
        <v>193</v>
      </c>
      <c r="M1" t="s">
        <v>170</v>
      </c>
    </row>
    <row r="2" spans="1:13" x14ac:dyDescent="0.2">
      <c r="C2" t="s">
        <v>20</v>
      </c>
      <c r="D2">
        <v>3.9E-2</v>
      </c>
      <c r="G2">
        <f>AVERAGE(D2:E2)*$K$11 + $K$12</f>
        <v>-3.2082434215761744</v>
      </c>
      <c r="I2">
        <v>1000</v>
      </c>
      <c r="J2">
        <v>1.556</v>
      </c>
      <c r="K2">
        <v>1.548</v>
      </c>
      <c r="M2">
        <f t="shared" ref="M2:M7" si="0">AVERAGE(J2:L2)</f>
        <v>1.552</v>
      </c>
    </row>
    <row r="3" spans="1:13" x14ac:dyDescent="0.2">
      <c r="C3" t="s">
        <v>47</v>
      </c>
      <c r="D3">
        <v>4.3999999999999997E-2</v>
      </c>
      <c r="G3">
        <f t="shared" ref="G3:G13" si="1">AVERAGE(D3:E3)*$K$11 + $K$12</f>
        <v>8.3261041095816779E-2</v>
      </c>
      <c r="I3">
        <v>500</v>
      </c>
      <c r="J3">
        <v>0.81799999999999995</v>
      </c>
      <c r="K3">
        <v>0.83099999999999996</v>
      </c>
      <c r="M3">
        <f t="shared" si="0"/>
        <v>0.82450000000000001</v>
      </c>
    </row>
    <row r="4" spans="1:13" x14ac:dyDescent="0.2">
      <c r="C4" t="s">
        <v>195</v>
      </c>
      <c r="D4">
        <v>4.2000000000000003E-2</v>
      </c>
      <c r="G4">
        <f t="shared" si="1"/>
        <v>-1.2333407439729775</v>
      </c>
      <c r="I4">
        <v>250</v>
      </c>
      <c r="J4">
        <v>0.42099999999999999</v>
      </c>
      <c r="K4">
        <v>0.43099999999999999</v>
      </c>
      <c r="M4">
        <f t="shared" si="0"/>
        <v>0.42599999999999999</v>
      </c>
    </row>
    <row r="5" spans="1:13" x14ac:dyDescent="0.2">
      <c r="C5" t="s">
        <v>21</v>
      </c>
      <c r="D5">
        <v>3.5999999999999997E-2</v>
      </c>
      <c r="G5">
        <f t="shared" si="1"/>
        <v>-5.1831460991793712</v>
      </c>
      <c r="I5">
        <v>100</v>
      </c>
      <c r="J5">
        <v>0.189</v>
      </c>
      <c r="K5">
        <v>0.19400000000000001</v>
      </c>
      <c r="M5">
        <f t="shared" si="0"/>
        <v>0.1915</v>
      </c>
    </row>
    <row r="6" spans="1:13" x14ac:dyDescent="0.2">
      <c r="C6" t="s">
        <v>48</v>
      </c>
      <c r="D6">
        <v>0.04</v>
      </c>
      <c r="G6">
        <f t="shared" si="1"/>
        <v>-2.5499425290417754</v>
      </c>
      <c r="I6">
        <v>50</v>
      </c>
      <c r="J6">
        <v>0.11799999999999999</v>
      </c>
      <c r="K6">
        <v>0.12</v>
      </c>
      <c r="M6">
        <f t="shared" si="0"/>
        <v>0.11899999999999999</v>
      </c>
    </row>
    <row r="7" spans="1:13" x14ac:dyDescent="0.2">
      <c r="C7" t="s">
        <v>196</v>
      </c>
      <c r="D7">
        <v>3.6999999999999998E-2</v>
      </c>
      <c r="G7">
        <f t="shared" si="1"/>
        <v>-4.5248452066449723</v>
      </c>
      <c r="I7">
        <v>25</v>
      </c>
      <c r="J7">
        <v>8.1000000000000003E-2</v>
      </c>
      <c r="K7">
        <v>7.3999999999999996E-2</v>
      </c>
      <c r="M7">
        <f t="shared" si="0"/>
        <v>7.7499999999999999E-2</v>
      </c>
    </row>
    <row r="8" spans="1:13" x14ac:dyDescent="0.2">
      <c r="C8" t="s">
        <v>22</v>
      </c>
      <c r="D8">
        <v>4.8000000000000001E-2</v>
      </c>
      <c r="G8">
        <f t="shared" si="1"/>
        <v>2.716464611233409</v>
      </c>
      <c r="I8">
        <v>10</v>
      </c>
      <c r="J8">
        <v>5.8999999999999997E-2</v>
      </c>
      <c r="K8">
        <v>5.2999999999999999E-2</v>
      </c>
      <c r="M8">
        <f>AVERAGE(J8:L8)</f>
        <v>5.5999999999999994E-2</v>
      </c>
    </row>
    <row r="9" spans="1:13" x14ac:dyDescent="0.2">
      <c r="C9" t="s">
        <v>49</v>
      </c>
      <c r="D9">
        <v>4.3999999999999997E-2</v>
      </c>
      <c r="G9">
        <f t="shared" si="1"/>
        <v>8.3261041095816779E-2</v>
      </c>
    </row>
    <row r="10" spans="1:13" x14ac:dyDescent="0.2">
      <c r="C10" t="s">
        <v>197</v>
      </c>
      <c r="D10">
        <v>4.5999999999999999E-2</v>
      </c>
      <c r="G10">
        <f t="shared" si="1"/>
        <v>1.3998628261646147</v>
      </c>
    </row>
    <row r="11" spans="1:13" x14ac:dyDescent="0.2">
      <c r="C11" t="s">
        <v>23</v>
      </c>
      <c r="D11">
        <v>4.5999999999999999E-2</v>
      </c>
      <c r="G11">
        <f t="shared" si="1"/>
        <v>1.3998628261646147</v>
      </c>
      <c r="J11" t="s">
        <v>194</v>
      </c>
      <c r="K11">
        <f>SLOPE(I2:I8,M2:M8)</f>
        <v>658.30089253439814</v>
      </c>
    </row>
    <row r="12" spans="1:13" x14ac:dyDescent="0.2">
      <c r="C12" t="s">
        <v>50</v>
      </c>
      <c r="D12">
        <v>3.6999999999999998E-2</v>
      </c>
      <c r="G12">
        <f t="shared" si="1"/>
        <v>-4.5248452066449723</v>
      </c>
      <c r="K12">
        <f>INTERCEPT(I2:I8,M2:M8)</f>
        <v>-28.881978230417701</v>
      </c>
    </row>
    <row r="13" spans="1:13" x14ac:dyDescent="0.2">
      <c r="C13" t="s">
        <v>198</v>
      </c>
      <c r="D13">
        <v>0.04</v>
      </c>
      <c r="G13">
        <f t="shared" si="1"/>
        <v>-2.5499425290417754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88C3-9FB0-7140-B5CF-7877321F2EFC}">
  <dimension ref="A1:O35"/>
  <sheetViews>
    <sheetView workbookViewId="0">
      <selection activeCell="C2" sqref="C2:C6"/>
    </sheetView>
  </sheetViews>
  <sheetFormatPr baseColWidth="10" defaultRowHeight="16" x14ac:dyDescent="0.2"/>
  <sheetData>
    <row r="1" spans="1:15" ht="19" x14ac:dyDescent="0.2">
      <c r="A1" s="3" t="s">
        <v>469</v>
      </c>
      <c r="B1" s="20" t="s">
        <v>0</v>
      </c>
      <c r="C1" s="4" t="s">
        <v>470</v>
      </c>
      <c r="D1" s="4" t="s">
        <v>471</v>
      </c>
      <c r="E1" s="4" t="s">
        <v>472</v>
      </c>
      <c r="F1" s="4" t="s">
        <v>473</v>
      </c>
      <c r="G1" s="4" t="s">
        <v>474</v>
      </c>
      <c r="H1" s="4" t="s">
        <v>475</v>
      </c>
      <c r="I1" s="4" t="s">
        <v>476</v>
      </c>
      <c r="J1" s="4" t="s">
        <v>477</v>
      </c>
      <c r="K1" s="4" t="s">
        <v>478</v>
      </c>
      <c r="L1" s="4" t="s">
        <v>479</v>
      </c>
      <c r="M1" s="4" t="s">
        <v>480</v>
      </c>
      <c r="N1" s="4" t="s">
        <v>481</v>
      </c>
      <c r="O1" s="5" t="s">
        <v>482</v>
      </c>
    </row>
    <row r="2" spans="1:15" x14ac:dyDescent="0.2">
      <c r="A2" s="7" t="s">
        <v>483</v>
      </c>
      <c r="B2" s="7" t="s">
        <v>483</v>
      </c>
      <c r="C2" s="8">
        <v>30.5</v>
      </c>
      <c r="D2" s="9">
        <v>3.11</v>
      </c>
      <c r="E2" s="10">
        <v>2.58</v>
      </c>
      <c r="F2" s="10">
        <v>26.7</v>
      </c>
      <c r="G2" s="11" t="s">
        <v>484</v>
      </c>
      <c r="H2" s="10"/>
      <c r="I2" s="10"/>
      <c r="J2" s="10"/>
      <c r="K2" s="10"/>
      <c r="L2" s="10"/>
      <c r="M2" s="10"/>
      <c r="N2" s="10"/>
      <c r="O2" s="12"/>
    </row>
    <row r="3" spans="1:15" x14ac:dyDescent="0.2">
      <c r="A3" s="13" t="s">
        <v>485</v>
      </c>
      <c r="B3" s="13" t="s">
        <v>485</v>
      </c>
      <c r="C3" s="14">
        <v>31.2</v>
      </c>
      <c r="D3" s="15">
        <v>2.17</v>
      </c>
      <c r="E3" s="16">
        <v>1.44</v>
      </c>
      <c r="F3" s="16">
        <v>24.5</v>
      </c>
      <c r="G3" s="11" t="s">
        <v>484</v>
      </c>
      <c r="H3" s="16"/>
      <c r="I3" s="16"/>
      <c r="J3" s="16"/>
      <c r="K3" s="16"/>
      <c r="L3" s="16"/>
      <c r="M3" s="16"/>
      <c r="N3" s="16"/>
      <c r="O3" s="17"/>
    </row>
    <row r="4" spans="1:15" x14ac:dyDescent="0.2">
      <c r="A4" s="13" t="s">
        <v>486</v>
      </c>
      <c r="B4" s="13" t="s">
        <v>486</v>
      </c>
      <c r="C4" s="14">
        <v>29.6</v>
      </c>
      <c r="D4" s="15">
        <v>2.64</v>
      </c>
      <c r="E4" s="16">
        <v>1.98</v>
      </c>
      <c r="F4" s="16">
        <v>27.2</v>
      </c>
      <c r="G4" s="11" t="s">
        <v>484</v>
      </c>
      <c r="H4" s="16"/>
      <c r="I4" s="16"/>
      <c r="J4" s="16"/>
      <c r="K4" s="16"/>
      <c r="L4" s="16"/>
      <c r="M4" s="16"/>
      <c r="N4" s="16"/>
      <c r="O4" s="17"/>
    </row>
    <row r="5" spans="1:15" x14ac:dyDescent="0.2">
      <c r="A5" s="13" t="s">
        <v>487</v>
      </c>
      <c r="B5" s="13" t="s">
        <v>487</v>
      </c>
      <c r="C5" s="14">
        <v>29.2</v>
      </c>
      <c r="D5" s="15">
        <v>2.27</v>
      </c>
      <c r="E5" s="16">
        <v>1.72</v>
      </c>
      <c r="F5" s="16">
        <v>20.2</v>
      </c>
      <c r="G5" s="11" t="s">
        <v>484</v>
      </c>
      <c r="H5" s="16"/>
      <c r="I5" s="16"/>
      <c r="J5" s="16"/>
      <c r="K5" s="16"/>
      <c r="L5" s="16"/>
      <c r="M5" s="16"/>
      <c r="N5" s="16"/>
      <c r="O5" s="17"/>
    </row>
    <row r="6" spans="1:15" x14ac:dyDescent="0.2">
      <c r="A6" s="13" t="s">
        <v>488</v>
      </c>
      <c r="B6" s="13" t="s">
        <v>488</v>
      </c>
      <c r="C6" s="14">
        <v>29.5</v>
      </c>
      <c r="D6" s="15">
        <v>1.91</v>
      </c>
      <c r="E6" s="16">
        <v>1.93</v>
      </c>
      <c r="F6" s="16">
        <v>13.4</v>
      </c>
      <c r="G6" s="11" t="s">
        <v>484</v>
      </c>
      <c r="H6" s="16"/>
      <c r="I6" s="16"/>
      <c r="J6" s="16"/>
      <c r="K6" s="16"/>
      <c r="L6" s="16"/>
      <c r="M6" s="16"/>
      <c r="N6" s="16"/>
      <c r="O6" s="17"/>
    </row>
    <row r="7" spans="1:15" x14ac:dyDescent="0.2">
      <c r="A7" s="13" t="s">
        <v>489</v>
      </c>
      <c r="B7" s="21" t="str">
        <f>_xlfn.CONCAT(LEFT(A7,2),"T",RIGHT(A7,5))</f>
        <v>P1T11-12</v>
      </c>
      <c r="C7" s="14">
        <v>39.299999999999997</v>
      </c>
      <c r="D7" s="15">
        <v>1.02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7"/>
    </row>
    <row r="8" spans="1:15" x14ac:dyDescent="0.2">
      <c r="A8" s="13" t="s">
        <v>490</v>
      </c>
      <c r="B8" s="21" t="str">
        <f t="shared" ref="B8:B34" si="0">_xlfn.CONCAT(LEFT(A8,2),"T",RIGHT(A8,5))</f>
        <v>P2T11-12</v>
      </c>
      <c r="C8" s="14">
        <v>31.5</v>
      </c>
      <c r="D8" s="15">
        <v>1.96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</row>
    <row r="9" spans="1:15" x14ac:dyDescent="0.2">
      <c r="A9" s="13" t="s">
        <v>491</v>
      </c>
      <c r="B9" s="21" t="str">
        <f t="shared" si="0"/>
        <v>P3T11-12</v>
      </c>
      <c r="C9" s="14">
        <v>29.3</v>
      </c>
      <c r="D9" s="15">
        <v>1.24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</row>
    <row r="10" spans="1:15" x14ac:dyDescent="0.2">
      <c r="A10" s="13" t="s">
        <v>492</v>
      </c>
      <c r="B10" s="21" t="str">
        <f t="shared" si="0"/>
        <v>P4T11-12</v>
      </c>
      <c r="C10" s="14">
        <v>22.1</v>
      </c>
      <c r="D10" s="15">
        <v>7.89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</row>
    <row r="11" spans="1:15" x14ac:dyDescent="0.2">
      <c r="A11" s="13" t="s">
        <v>493</v>
      </c>
      <c r="B11" s="21" t="str">
        <f t="shared" si="0"/>
        <v>P1T20-21</v>
      </c>
      <c r="C11" s="14">
        <v>40</v>
      </c>
      <c r="D11" s="15">
        <v>1.9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</row>
    <row r="12" spans="1:15" x14ac:dyDescent="0.2">
      <c r="A12" s="13" t="s">
        <v>494</v>
      </c>
      <c r="B12" s="21" t="str">
        <f t="shared" si="0"/>
        <v>P2T20-21</v>
      </c>
      <c r="C12" s="14">
        <v>38.5</v>
      </c>
      <c r="D12" s="15">
        <v>1.36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7"/>
    </row>
    <row r="13" spans="1:15" x14ac:dyDescent="0.2">
      <c r="A13" s="13" t="s">
        <v>495</v>
      </c>
      <c r="B13" s="21" t="str">
        <f t="shared" si="0"/>
        <v>P3T20-21</v>
      </c>
      <c r="C13" s="14">
        <v>38.9</v>
      </c>
      <c r="D13" s="15">
        <v>1.39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</row>
    <row r="14" spans="1:15" x14ac:dyDescent="0.2">
      <c r="A14" s="13" t="s">
        <v>496</v>
      </c>
      <c r="B14" s="21" t="str">
        <f t="shared" si="0"/>
        <v>P4T20-21</v>
      </c>
      <c r="C14" s="14">
        <v>28.9</v>
      </c>
      <c r="D14" s="15">
        <v>2.76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</row>
    <row r="15" spans="1:15" x14ac:dyDescent="0.2">
      <c r="A15" s="13" t="s">
        <v>497</v>
      </c>
      <c r="B15" s="21" t="str">
        <f t="shared" si="0"/>
        <v>P1T40-41</v>
      </c>
      <c r="C15" s="14">
        <v>37</v>
      </c>
      <c r="D15" s="15">
        <v>1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</row>
    <row r="16" spans="1:15" x14ac:dyDescent="0.2">
      <c r="A16" s="13" t="s">
        <v>498</v>
      </c>
      <c r="B16" s="21" t="str">
        <f t="shared" si="0"/>
        <v>P2T40-41</v>
      </c>
      <c r="C16" s="14">
        <v>40.9</v>
      </c>
      <c r="D16" s="15">
        <v>3.24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</row>
    <row r="17" spans="1:15" x14ac:dyDescent="0.2">
      <c r="A17" s="13" t="s">
        <v>499</v>
      </c>
      <c r="B17" s="21" t="str">
        <f t="shared" si="0"/>
        <v>P3T40-41</v>
      </c>
      <c r="C17" s="14">
        <v>39.799999999999997</v>
      </c>
      <c r="D17" s="15">
        <v>3.25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</row>
    <row r="18" spans="1:15" x14ac:dyDescent="0.2">
      <c r="A18" s="13" t="s">
        <v>500</v>
      </c>
      <c r="B18" s="21" t="str">
        <f t="shared" si="0"/>
        <v>P4T40-41</v>
      </c>
      <c r="C18" s="14">
        <v>31.5</v>
      </c>
      <c r="D18" s="15">
        <v>9.4499999999999993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/>
    </row>
    <row r="19" spans="1:15" x14ac:dyDescent="0.2">
      <c r="A19" s="13" t="s">
        <v>501</v>
      </c>
      <c r="B19" s="21" t="str">
        <f t="shared" si="0"/>
        <v>P1T50-51</v>
      </c>
      <c r="C19" s="14">
        <v>41.2</v>
      </c>
      <c r="D19" s="15">
        <v>2.66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</row>
    <row r="20" spans="1:15" x14ac:dyDescent="0.2">
      <c r="A20" s="13" t="s">
        <v>502</v>
      </c>
      <c r="B20" s="21" t="str">
        <f t="shared" si="0"/>
        <v>P2T50-51</v>
      </c>
      <c r="C20" s="14">
        <v>43.3</v>
      </c>
      <c r="D20" s="15">
        <v>2.4500000000000002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7"/>
    </row>
    <row r="21" spans="1:15" x14ac:dyDescent="0.2">
      <c r="A21" s="13" t="s">
        <v>503</v>
      </c>
      <c r="B21" s="21" t="str">
        <f t="shared" si="0"/>
        <v>P3T50-51</v>
      </c>
      <c r="C21" s="14">
        <v>43.4</v>
      </c>
      <c r="D21" s="15">
        <v>1.25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</row>
    <row r="22" spans="1:15" x14ac:dyDescent="0.2">
      <c r="A22" s="13" t="s">
        <v>504</v>
      </c>
      <c r="B22" s="21" t="str">
        <f t="shared" si="0"/>
        <v>P4T50-51</v>
      </c>
      <c r="C22" s="14">
        <v>38.200000000000003</v>
      </c>
      <c r="D22" s="15">
        <v>6.25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/>
    </row>
    <row r="23" spans="1:15" x14ac:dyDescent="0.2">
      <c r="A23" s="13" t="s">
        <v>505</v>
      </c>
      <c r="B23" s="21" t="str">
        <f t="shared" si="0"/>
        <v>P1T62-63</v>
      </c>
      <c r="C23" s="14">
        <v>38.299999999999997</v>
      </c>
      <c r="D23" s="15">
        <v>4.2699999999999996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</row>
    <row r="24" spans="1:15" x14ac:dyDescent="0.2">
      <c r="A24" s="13" t="s">
        <v>506</v>
      </c>
      <c r="B24" s="21" t="str">
        <f t="shared" si="0"/>
        <v>P2T61-62</v>
      </c>
      <c r="C24" s="14">
        <v>43.1</v>
      </c>
      <c r="D24" s="15">
        <v>0.74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</row>
    <row r="25" spans="1:15" x14ac:dyDescent="0.2">
      <c r="A25" s="13" t="s">
        <v>507</v>
      </c>
      <c r="B25" s="21" t="str">
        <f t="shared" si="0"/>
        <v>P3T61-62</v>
      </c>
      <c r="C25" s="14">
        <v>42.2</v>
      </c>
      <c r="D25" s="15">
        <v>2.66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</row>
    <row r="26" spans="1:15" x14ac:dyDescent="0.2">
      <c r="A26" s="13" t="s">
        <v>508</v>
      </c>
      <c r="B26" s="21" t="str">
        <f t="shared" si="0"/>
        <v>P4T61-62</v>
      </c>
      <c r="C26" s="14">
        <v>36.700000000000003</v>
      </c>
      <c r="D26" s="15">
        <v>4.9800000000000004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7"/>
    </row>
    <row r="27" spans="1:15" x14ac:dyDescent="0.2">
      <c r="A27" s="13" t="s">
        <v>509</v>
      </c>
      <c r="B27" s="21" t="str">
        <f t="shared" si="0"/>
        <v>P1T71-72</v>
      </c>
      <c r="C27" s="14">
        <v>41.6</v>
      </c>
      <c r="D27" s="15">
        <v>0.77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/>
    </row>
    <row r="28" spans="1:15" x14ac:dyDescent="0.2">
      <c r="A28" s="13" t="s">
        <v>510</v>
      </c>
      <c r="B28" s="21" t="str">
        <f t="shared" si="0"/>
        <v>P2T71-72</v>
      </c>
      <c r="C28" s="14">
        <v>42.8</v>
      </c>
      <c r="D28" s="15">
        <v>0.71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7"/>
    </row>
    <row r="29" spans="1:15" x14ac:dyDescent="0.2">
      <c r="A29" s="13" t="s">
        <v>511</v>
      </c>
      <c r="B29" s="21" t="str">
        <f t="shared" si="0"/>
        <v>P3T71-72</v>
      </c>
      <c r="C29" s="14">
        <v>41.9</v>
      </c>
      <c r="D29" s="15">
        <v>2.87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</row>
    <row r="30" spans="1:15" x14ac:dyDescent="0.2">
      <c r="A30" s="13" t="s">
        <v>512</v>
      </c>
      <c r="B30" s="21" t="str">
        <f t="shared" si="0"/>
        <v>P4T71-72</v>
      </c>
      <c r="C30" s="14">
        <v>34.700000000000003</v>
      </c>
      <c r="D30" s="14">
        <v>11.2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</row>
    <row r="31" spans="1:15" x14ac:dyDescent="0.2">
      <c r="A31" s="13" t="s">
        <v>513</v>
      </c>
      <c r="B31" s="21" t="str">
        <f t="shared" si="0"/>
        <v>P1T78-79</v>
      </c>
      <c r="C31" s="14">
        <v>41.8</v>
      </c>
      <c r="D31" s="15">
        <v>3.22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/>
    </row>
    <row r="32" spans="1:15" x14ac:dyDescent="0.2">
      <c r="A32" s="13" t="s">
        <v>514</v>
      </c>
      <c r="B32" s="21" t="str">
        <f t="shared" si="0"/>
        <v>P2T78-79</v>
      </c>
      <c r="C32" s="14">
        <v>43.7</v>
      </c>
      <c r="D32" s="15">
        <v>0.9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/>
    </row>
    <row r="33" spans="1:15" x14ac:dyDescent="0.2">
      <c r="A33" s="13" t="s">
        <v>515</v>
      </c>
      <c r="B33" s="21" t="str">
        <f t="shared" si="0"/>
        <v>P3T78-79</v>
      </c>
      <c r="C33" s="14">
        <v>42.4</v>
      </c>
      <c r="D33" s="15">
        <v>1.27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/>
    </row>
    <row r="34" spans="1:15" x14ac:dyDescent="0.2">
      <c r="A34" s="13" t="s">
        <v>516</v>
      </c>
      <c r="B34" s="21" t="str">
        <f t="shared" si="0"/>
        <v>P4T78-79</v>
      </c>
      <c r="C34" s="14">
        <v>35.200000000000003</v>
      </c>
      <c r="D34" s="14">
        <v>11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7"/>
    </row>
    <row r="35" spans="1:15" ht="17" thickBot="1" x14ac:dyDescent="0.25">
      <c r="A35" s="6" t="s">
        <v>517</v>
      </c>
      <c r="B35" s="6" t="s">
        <v>517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3CA3-6FBF-584B-BA84-D012B4CAD8AF}">
  <dimension ref="A1:E111"/>
  <sheetViews>
    <sheetView tabSelected="1" topLeftCell="A52" zoomScale="160" zoomScaleNormal="160" workbookViewId="0">
      <selection activeCell="A64" sqref="A64"/>
    </sheetView>
  </sheetViews>
  <sheetFormatPr baseColWidth="10" defaultRowHeight="16" x14ac:dyDescent="0.2"/>
  <sheetData>
    <row r="1" spans="1:5" x14ac:dyDescent="0.2">
      <c r="A1" t="s">
        <v>190</v>
      </c>
      <c r="C1" t="s">
        <v>0</v>
      </c>
      <c r="D1" t="s">
        <v>518</v>
      </c>
      <c r="E1" t="s">
        <v>519</v>
      </c>
    </row>
    <row r="2" spans="1:5" x14ac:dyDescent="0.2">
      <c r="A2" t="s">
        <v>520</v>
      </c>
      <c r="B2" t="s">
        <v>521</v>
      </c>
      <c r="C2" t="str" cm="1">
        <f t="array" ref="C2">_xlfn.REGEXEXTRACT(A2,"^\d*-(\w*\d)?",0,1)</f>
        <v>002-std100</v>
      </c>
      <c r="D2">
        <v>99.58</v>
      </c>
      <c r="E2">
        <v>99.34</v>
      </c>
    </row>
    <row r="3" spans="1:5" x14ac:dyDescent="0.2">
      <c r="A3" t="s">
        <v>522</v>
      </c>
      <c r="B3" t="s">
        <v>521</v>
      </c>
      <c r="C3" t="str" cm="1">
        <f t="array" ref="C3">_xlfn.REGEXEXTRACT(A3,"^\d*-(\w*\d)?",0,1)</f>
        <v>001-std100</v>
      </c>
      <c r="D3">
        <v>99.26</v>
      </c>
      <c r="E3">
        <v>99.13</v>
      </c>
    </row>
    <row r="4" spans="1:5" x14ac:dyDescent="0.2">
      <c r="A4" t="s">
        <v>523</v>
      </c>
      <c r="B4" t="s">
        <v>524</v>
      </c>
      <c r="C4" t="str" cm="1">
        <f t="array" ref="C4">_xlfn.REGEXEXTRACT(A4,"^\d*-(\w*\d)?",0,1)</f>
        <v>003-std80</v>
      </c>
      <c r="D4">
        <v>79.2</v>
      </c>
      <c r="E4">
        <v>79.34</v>
      </c>
    </row>
    <row r="5" spans="1:5" x14ac:dyDescent="0.2">
      <c r="A5" t="s">
        <v>525</v>
      </c>
      <c r="B5" t="s">
        <v>526</v>
      </c>
      <c r="C5" t="str" cm="1">
        <f t="array" ref="C5">_xlfn.REGEXEXTRACT(A5,"^\d*-(\w*\d)?",0,1)</f>
        <v>004-std60</v>
      </c>
      <c r="D5">
        <v>59.78</v>
      </c>
      <c r="E5">
        <v>59.95</v>
      </c>
    </row>
    <row r="6" spans="1:5" x14ac:dyDescent="0.2">
      <c r="A6" t="s">
        <v>527</v>
      </c>
      <c r="B6" t="s">
        <v>528</v>
      </c>
      <c r="C6" t="str" cm="1">
        <f t="array" ref="C6">_xlfn.REGEXEXTRACT(A6,"^\d*-(\w*\d)?",0,1)</f>
        <v>005-std40</v>
      </c>
      <c r="D6">
        <v>39.68</v>
      </c>
      <c r="E6">
        <v>39.909999999999997</v>
      </c>
    </row>
    <row r="7" spans="1:5" x14ac:dyDescent="0.2">
      <c r="A7" t="s">
        <v>529</v>
      </c>
      <c r="B7" t="s">
        <v>530</v>
      </c>
      <c r="C7" t="str" cm="1">
        <f t="array" ref="C7">_xlfn.REGEXEXTRACT(A7,"^\d*-(\w*\d)?",0,1)</f>
        <v>006-std20</v>
      </c>
      <c r="D7">
        <v>19.5</v>
      </c>
      <c r="E7">
        <v>19.739999999999998</v>
      </c>
    </row>
    <row r="8" spans="1:5" x14ac:dyDescent="0.2">
      <c r="A8" t="s">
        <v>531</v>
      </c>
      <c r="B8" t="s">
        <v>532</v>
      </c>
      <c r="C8" t="str" cm="1">
        <f t="array" ref="C8">_xlfn.REGEXEXTRACT(A8,"^\d*-(\w*\d)?",0,1)</f>
        <v>007-std25</v>
      </c>
      <c r="D8">
        <v>24.29</v>
      </c>
      <c r="E8">
        <v>24.57</v>
      </c>
    </row>
    <row r="9" spans="1:5" x14ac:dyDescent="0.2">
      <c r="A9" t="s">
        <v>533</v>
      </c>
      <c r="B9" t="s">
        <v>534</v>
      </c>
      <c r="C9" t="str" cm="1">
        <f t="array" ref="C9">_xlfn.REGEXEXTRACT(A9,"^\d*-(\w*\d)?",0,1)</f>
        <v>008-std10</v>
      </c>
      <c r="D9">
        <v>9.67</v>
      </c>
      <c r="E9">
        <v>9.76</v>
      </c>
    </row>
    <row r="10" spans="1:5" x14ac:dyDescent="0.2">
      <c r="A10" t="s">
        <v>535</v>
      </c>
      <c r="B10" t="s">
        <v>536</v>
      </c>
      <c r="C10" t="str" cm="1">
        <f t="array" ref="C10">_xlfn.REGEXEXTRACT(A10,"^\d*-(\w*\d)?",0,1)</f>
        <v>009-std5</v>
      </c>
      <c r="D10">
        <v>4.9400000000000004</v>
      </c>
      <c r="E10">
        <v>4.96</v>
      </c>
    </row>
    <row r="11" spans="1:5" x14ac:dyDescent="0.2">
      <c r="A11" t="s">
        <v>537</v>
      </c>
      <c r="B11" t="s">
        <v>538</v>
      </c>
      <c r="C11" t="str" cm="1">
        <f t="array" ref="C11">_xlfn.REGEXEXTRACT(A11,"^\d*-(\w*\d)?",0,1)</f>
        <v>010-std2</v>
      </c>
      <c r="D11">
        <v>2.4300000000000002</v>
      </c>
      <c r="E11">
        <v>2.27</v>
      </c>
    </row>
    <row r="12" spans="1:5" x14ac:dyDescent="0.2">
      <c r="A12" t="s">
        <v>539</v>
      </c>
      <c r="B12" t="s">
        <v>540</v>
      </c>
      <c r="C12" t="str" cm="1">
        <f t="array" ref="C12">_xlfn.REGEXEXTRACT(A12,"^\d*-(\w*\d)?",0,1)</f>
        <v>011-std1</v>
      </c>
      <c r="D12">
        <v>1.66</v>
      </c>
      <c r="E12">
        <v>1.45</v>
      </c>
    </row>
    <row r="13" spans="1:5" x14ac:dyDescent="0.2">
      <c r="A13" t="s">
        <v>541</v>
      </c>
      <c r="B13" t="s">
        <v>542</v>
      </c>
      <c r="C13" t="str" cm="1">
        <f t="array" ref="C13">_xlfn.REGEXEXTRACT(A13,"(P?B?\w*\d)$",0,1)</f>
        <v>BCK11</v>
      </c>
      <c r="D13">
        <v>124.56</v>
      </c>
      <c r="E13">
        <v>0.74</v>
      </c>
    </row>
    <row r="14" spans="1:5" x14ac:dyDescent="0.2">
      <c r="A14" t="s">
        <v>543</v>
      </c>
      <c r="B14" t="s">
        <v>542</v>
      </c>
      <c r="C14" t="str" cm="1">
        <f t="array" ref="C14">_xlfn.REGEXEXTRACT(A14,"(P?B?\w*\d)$",0,1)</f>
        <v>BCK12</v>
      </c>
      <c r="D14">
        <v>124.61</v>
      </c>
      <c r="E14">
        <v>0.74</v>
      </c>
    </row>
    <row r="15" spans="1:5" x14ac:dyDescent="0.2">
      <c r="A15" t="s">
        <v>544</v>
      </c>
      <c r="B15" t="s">
        <v>542</v>
      </c>
      <c r="C15" t="str" cm="1">
        <f t="array" ref="C15">_xlfn.REGEXEXTRACT(A15,"(P?B?\w*\d)$",0,1)</f>
        <v>BCK31</v>
      </c>
      <c r="D15">
        <v>127.79</v>
      </c>
      <c r="E15">
        <v>0.73</v>
      </c>
    </row>
    <row r="16" spans="1:5" x14ac:dyDescent="0.2">
      <c r="A16" t="s">
        <v>545</v>
      </c>
      <c r="B16" t="s">
        <v>542</v>
      </c>
      <c r="C16" t="str" cm="1">
        <f t="array" ref="C16">_xlfn.REGEXEXTRACT(A16,"(P?B?\w*\d)$",0,1)</f>
        <v>BCK32</v>
      </c>
      <c r="D16">
        <v>127.51</v>
      </c>
      <c r="E16">
        <v>0.73</v>
      </c>
    </row>
    <row r="17" spans="1:5" x14ac:dyDescent="0.2">
      <c r="A17" t="s">
        <v>546</v>
      </c>
      <c r="B17" t="s">
        <v>542</v>
      </c>
      <c r="C17" t="str" cm="1">
        <f t="array" ref="C17">_xlfn.REGEXEXTRACT(A17,"(P?B?\w*\d)$",0,1)</f>
        <v>BCK41</v>
      </c>
      <c r="D17">
        <v>94.31</v>
      </c>
      <c r="E17">
        <v>0.72</v>
      </c>
    </row>
    <row r="18" spans="1:5" x14ac:dyDescent="0.2">
      <c r="A18" t="s">
        <v>547</v>
      </c>
      <c r="B18" t="s">
        <v>542</v>
      </c>
      <c r="C18" t="str" cm="1">
        <f t="array" ref="C18">_xlfn.REGEXEXTRACT(A18,"(P?B?\w*\d)$",0,1)</f>
        <v>BCK51</v>
      </c>
      <c r="D18">
        <v>63.16</v>
      </c>
      <c r="E18">
        <v>0.73</v>
      </c>
    </row>
    <row r="19" spans="1:5" x14ac:dyDescent="0.2">
      <c r="A19" t="s">
        <v>548</v>
      </c>
      <c r="B19" t="s">
        <v>542</v>
      </c>
      <c r="C19" t="str" cm="1">
        <f t="array" ref="C19">_xlfn.REGEXEXTRACT(A19,"(P?B?\w*\d)$",0,1)</f>
        <v>BCK52</v>
      </c>
      <c r="D19">
        <v>63.52</v>
      </c>
      <c r="E19">
        <v>0.73</v>
      </c>
    </row>
    <row r="20" spans="1:5" x14ac:dyDescent="0.2">
      <c r="A20" t="s">
        <v>549</v>
      </c>
      <c r="B20" t="s">
        <v>542</v>
      </c>
      <c r="C20" t="str" cm="1">
        <f t="array" ref="C20">_xlfn.REGEXEXTRACT(A20,"(P?B?\w*\d)$",0,1)</f>
        <v>P1T0</v>
      </c>
      <c r="D20">
        <v>93.37</v>
      </c>
      <c r="E20">
        <v>1.21</v>
      </c>
    </row>
    <row r="21" spans="1:5" x14ac:dyDescent="0.2">
      <c r="A21" t="s">
        <v>550</v>
      </c>
      <c r="B21" t="s">
        <v>542</v>
      </c>
      <c r="C21" t="str" cm="1">
        <f t="array" ref="C21">_xlfn.REGEXEXTRACT(A21,"(P?B?\w*\d)$",0,1)</f>
        <v>P1T3</v>
      </c>
      <c r="D21">
        <v>65.010000000000005</v>
      </c>
      <c r="E21">
        <v>0.99</v>
      </c>
    </row>
    <row r="22" spans="1:5" x14ac:dyDescent="0.2">
      <c r="A22" t="s">
        <v>551</v>
      </c>
      <c r="B22" t="s">
        <v>542</v>
      </c>
      <c r="C22" t="str" cm="1">
        <f t="array" ref="C22">_xlfn.REGEXEXTRACT(A22,"(P?B?\w*\d)$",0,1)</f>
        <v>P1T8</v>
      </c>
      <c r="D22">
        <v>63.84</v>
      </c>
      <c r="E22">
        <v>0.98</v>
      </c>
    </row>
    <row r="23" spans="1:5" x14ac:dyDescent="0.2">
      <c r="A23" t="s">
        <v>552</v>
      </c>
      <c r="B23" t="s">
        <v>542</v>
      </c>
      <c r="C23" t="str" cm="1">
        <f t="array" ref="C23">_xlfn.REGEXEXTRACT(A23,"(P?B?\w*\d)$",0,1)</f>
        <v>P1T15</v>
      </c>
      <c r="D23">
        <v>62.62</v>
      </c>
      <c r="E23">
        <v>0.96</v>
      </c>
    </row>
    <row r="24" spans="1:5" x14ac:dyDescent="0.2">
      <c r="A24" t="s">
        <v>553</v>
      </c>
      <c r="B24" t="s">
        <v>542</v>
      </c>
      <c r="C24" t="str" cm="1">
        <f t="array" ref="C24">_xlfn.REGEXEXTRACT(A24,"(P?B?\w*\d)$",0,1)</f>
        <v>P1T23</v>
      </c>
      <c r="D24">
        <v>61.3</v>
      </c>
      <c r="E24">
        <v>0.94</v>
      </c>
    </row>
    <row r="25" spans="1:5" x14ac:dyDescent="0.2">
      <c r="A25" t="s">
        <v>554</v>
      </c>
      <c r="B25" t="s">
        <v>542</v>
      </c>
      <c r="C25" t="str" cm="1">
        <f t="array" ref="C25">_xlfn.REGEXEXTRACT(A25,"(P?B?\w*\d)$",0,1)</f>
        <v>P1T27</v>
      </c>
      <c r="D25">
        <v>61.71</v>
      </c>
      <c r="E25">
        <v>1.08</v>
      </c>
    </row>
    <row r="26" spans="1:5" x14ac:dyDescent="0.2">
      <c r="A26" t="s">
        <v>555</v>
      </c>
      <c r="B26" t="s">
        <v>542</v>
      </c>
      <c r="C26" t="str" cm="1">
        <f t="array" ref="C26">_xlfn.REGEXEXTRACT(A26,"(P?B?\w*\d)$",0,1)</f>
        <v>P1T35</v>
      </c>
      <c r="D26">
        <v>81.28</v>
      </c>
      <c r="E26">
        <v>0.95</v>
      </c>
    </row>
    <row r="27" spans="1:5" x14ac:dyDescent="0.2">
      <c r="A27" t="s">
        <v>556</v>
      </c>
      <c r="B27" t="s">
        <v>542</v>
      </c>
      <c r="C27" t="str" cm="1">
        <f t="array" ref="C27">_xlfn.REGEXEXTRACT(A27,"(P?B?\w*\d)$",0,1)</f>
        <v>BCK21</v>
      </c>
      <c r="D27">
        <v>114.12</v>
      </c>
      <c r="E27">
        <v>0.73</v>
      </c>
    </row>
    <row r="28" spans="1:5" x14ac:dyDescent="0.2">
      <c r="A28" t="s">
        <v>557</v>
      </c>
      <c r="B28" t="s">
        <v>542</v>
      </c>
      <c r="C28" t="str" cm="1">
        <f t="array" ref="C28">_xlfn.REGEXEXTRACT(A28,"(P?B?\w*\d)$",0,1)</f>
        <v>BCK22</v>
      </c>
      <c r="D28">
        <v>117.25</v>
      </c>
      <c r="E28">
        <v>0.72</v>
      </c>
    </row>
    <row r="29" spans="1:5" x14ac:dyDescent="0.2">
      <c r="A29" t="s">
        <v>639</v>
      </c>
      <c r="B29" t="s">
        <v>542</v>
      </c>
      <c r="C29" t="str" cm="1">
        <f t="array" ref="C29">_xlfn.REGEXEXTRACT(A29,"(P?B?\w*\d)$",0,1)</f>
        <v>P1T39</v>
      </c>
      <c r="D29">
        <v>75.97</v>
      </c>
      <c r="E29">
        <v>0.94</v>
      </c>
    </row>
    <row r="30" spans="1:5" x14ac:dyDescent="0.2">
      <c r="A30" t="s">
        <v>558</v>
      </c>
      <c r="B30" t="s">
        <v>542</v>
      </c>
      <c r="C30" t="str" cm="1">
        <f t="array" ref="C30">_xlfn.REGEXEXTRACT(A30,"(P?B?\w*\d)$",0,1)</f>
        <v>P1T43</v>
      </c>
      <c r="D30">
        <v>81.02</v>
      </c>
      <c r="E30">
        <v>0.93</v>
      </c>
    </row>
    <row r="31" spans="1:5" x14ac:dyDescent="0.2">
      <c r="A31" t="s">
        <v>559</v>
      </c>
      <c r="B31" t="s">
        <v>542</v>
      </c>
      <c r="C31" t="str" cm="1">
        <f t="array" ref="C31">_xlfn.REGEXEXTRACT(A31,"(P?B?\w*\d)$",0,1)</f>
        <v>P1T47</v>
      </c>
      <c r="D31">
        <v>79.23</v>
      </c>
      <c r="E31">
        <v>0.94</v>
      </c>
    </row>
    <row r="32" spans="1:5" x14ac:dyDescent="0.2">
      <c r="A32" t="s">
        <v>560</v>
      </c>
      <c r="B32" t="s">
        <v>542</v>
      </c>
      <c r="C32" t="str" cm="1">
        <f t="array" ref="C32">_xlfn.REGEXEXTRACT(A32,"(P?B?\w*\d)$",0,1)</f>
        <v>P1T55</v>
      </c>
      <c r="D32">
        <v>74.36</v>
      </c>
      <c r="E32">
        <v>0.9</v>
      </c>
    </row>
    <row r="33" spans="1:5" x14ac:dyDescent="0.2">
      <c r="A33" t="s">
        <v>561</v>
      </c>
      <c r="B33" t="s">
        <v>542</v>
      </c>
      <c r="C33" t="str" cm="1">
        <f t="array" ref="C33">_xlfn.REGEXEXTRACT(A33,"(P?B?\w*\d)$",0,1)</f>
        <v>P1T56</v>
      </c>
      <c r="D33">
        <v>63.42</v>
      </c>
      <c r="E33">
        <v>1.31</v>
      </c>
    </row>
    <row r="34" spans="1:5" x14ac:dyDescent="0.2">
      <c r="A34" t="s">
        <v>562</v>
      </c>
      <c r="B34" t="s">
        <v>542</v>
      </c>
      <c r="C34" t="str" cm="1">
        <f t="array" ref="C34">_xlfn.REGEXEXTRACT(A34,"(P?B?\w*\d)$",0,1)</f>
        <v>P1T63</v>
      </c>
      <c r="D34">
        <v>40.78</v>
      </c>
      <c r="E34">
        <v>0.9</v>
      </c>
    </row>
    <row r="35" spans="1:5" x14ac:dyDescent="0.2">
      <c r="A35" t="s">
        <v>563</v>
      </c>
      <c r="B35" t="s">
        <v>542</v>
      </c>
      <c r="C35" t="str" cm="1">
        <f t="array" ref="C35">_xlfn.REGEXEXTRACT(A35,"(P?B?\w*\d)$",0,1)</f>
        <v>P1T67</v>
      </c>
      <c r="D35">
        <v>44.16</v>
      </c>
      <c r="E35">
        <v>0.89</v>
      </c>
    </row>
    <row r="36" spans="1:5" x14ac:dyDescent="0.2">
      <c r="A36" t="s">
        <v>564</v>
      </c>
      <c r="B36" t="s">
        <v>542</v>
      </c>
      <c r="C36" t="str" cm="1">
        <f t="array" ref="C36">_xlfn.REGEXEXTRACT(A36,"(P?B?\w*\d)$",0,1)</f>
        <v>P1T70</v>
      </c>
      <c r="D36">
        <v>45.37</v>
      </c>
      <c r="E36">
        <v>0.92</v>
      </c>
    </row>
    <row r="37" spans="1:5" x14ac:dyDescent="0.2">
      <c r="A37" t="s">
        <v>565</v>
      </c>
      <c r="B37" t="s">
        <v>542</v>
      </c>
      <c r="C37" t="str" cm="1">
        <f t="array" ref="C37">_xlfn.REGEXEXTRACT(A37,"(P?B?\w*\d)$",0,1)</f>
        <v>BCK42</v>
      </c>
      <c r="D37">
        <v>95.52</v>
      </c>
      <c r="E37">
        <v>0.74</v>
      </c>
    </row>
    <row r="38" spans="1:5" x14ac:dyDescent="0.2">
      <c r="A38" t="s">
        <v>566</v>
      </c>
      <c r="B38" t="s">
        <v>542</v>
      </c>
      <c r="C38" t="str" cm="1">
        <f t="array" ref="C38">_xlfn.REGEXEXTRACT(A38,"(P?B?\w*\d)$",0,1)</f>
        <v>P1T75</v>
      </c>
      <c r="D38">
        <v>45.91</v>
      </c>
      <c r="E38">
        <v>0.89</v>
      </c>
    </row>
    <row r="39" spans="1:5" x14ac:dyDescent="0.2">
      <c r="A39" t="s">
        <v>567</v>
      </c>
      <c r="B39" t="s">
        <v>542</v>
      </c>
      <c r="C39" t="str" cm="1">
        <f t="array" ref="C39">_xlfn.REGEXEXTRACT(A39,"(P?B?\w*\d)$",0,1)</f>
        <v>P1T80</v>
      </c>
      <c r="D39">
        <v>44.8</v>
      </c>
      <c r="E39">
        <v>0.92</v>
      </c>
    </row>
    <row r="40" spans="1:5" x14ac:dyDescent="0.2">
      <c r="A40" t="s">
        <v>568</v>
      </c>
      <c r="B40" t="s">
        <v>542</v>
      </c>
      <c r="C40" t="str" cm="1">
        <f t="array" ref="C40">_xlfn.REGEXEXTRACT(A40,"(P?B?\w*\d)$",0,1)</f>
        <v>B1T2</v>
      </c>
    </row>
    <row r="41" spans="1:5" x14ac:dyDescent="0.2">
      <c r="A41" t="s">
        <v>569</v>
      </c>
      <c r="B41" t="s">
        <v>542</v>
      </c>
      <c r="C41" t="str" cm="1">
        <f t="array" ref="C41">_xlfn.REGEXEXTRACT(A41,"(P?B?\w*\d)$",0,1)</f>
        <v>B1T6</v>
      </c>
      <c r="D41">
        <v>57.07</v>
      </c>
      <c r="E41">
        <v>1.69</v>
      </c>
    </row>
    <row r="42" spans="1:5" x14ac:dyDescent="0.2">
      <c r="A42" t="s">
        <v>570</v>
      </c>
      <c r="B42" t="s">
        <v>542</v>
      </c>
      <c r="C42" t="str" cm="1">
        <f t="array" ref="C42">_xlfn.REGEXEXTRACT(A42,"(P?B?\w*\d)$",0,1)</f>
        <v>B1T10</v>
      </c>
      <c r="D42">
        <v>12.24</v>
      </c>
      <c r="E42">
        <v>0.88</v>
      </c>
    </row>
    <row r="43" spans="1:5" x14ac:dyDescent="0.2">
      <c r="A43" t="s">
        <v>571</v>
      </c>
      <c r="B43" t="s">
        <v>542</v>
      </c>
      <c r="C43" t="str" cm="1">
        <f t="array" ref="C43">_xlfn.REGEXEXTRACT(A43,"(P?B?\w*\d)$",0,1)</f>
        <v>B1T14</v>
      </c>
      <c r="D43">
        <v>10.71</v>
      </c>
      <c r="E43">
        <v>0.9</v>
      </c>
    </row>
    <row r="44" spans="1:5" x14ac:dyDescent="0.2">
      <c r="A44" t="s">
        <v>572</v>
      </c>
      <c r="B44" t="s">
        <v>542</v>
      </c>
      <c r="C44" t="str" cm="1">
        <f t="array" ref="C44">_xlfn.REGEXEXTRACT(A44,"(P?B?\w*\d)$",0,1)</f>
        <v>B1T16</v>
      </c>
      <c r="D44">
        <v>12.2</v>
      </c>
      <c r="E44">
        <v>0.89</v>
      </c>
    </row>
    <row r="45" spans="1:5" x14ac:dyDescent="0.2">
      <c r="A45" t="s">
        <v>573</v>
      </c>
      <c r="B45" t="s">
        <v>542</v>
      </c>
      <c r="C45" t="str" cm="1">
        <f t="array" ref="C45">_xlfn.REGEXEXTRACT(A45,"(P?B?\w*\d)$",0,1)</f>
        <v>P2T0</v>
      </c>
    </row>
    <row r="46" spans="1:5" x14ac:dyDescent="0.2">
      <c r="A46" t="s">
        <v>574</v>
      </c>
      <c r="B46" t="s">
        <v>542</v>
      </c>
      <c r="C46" t="str" cm="1">
        <f t="array" ref="C46">_xlfn.REGEXEXTRACT(A46,"(P?B?\w*\d)$",0,1)</f>
        <v>B2T3</v>
      </c>
    </row>
    <row r="47" spans="1:5" x14ac:dyDescent="0.2">
      <c r="A47" t="s">
        <v>575</v>
      </c>
      <c r="B47" t="s">
        <v>542</v>
      </c>
      <c r="C47" t="str" cm="1">
        <f t="array" ref="C47">_xlfn.REGEXEXTRACT(A47,"(P?B?\w*\d)$",0,1)</f>
        <v>P2T8</v>
      </c>
      <c r="D47">
        <v>45.72</v>
      </c>
      <c r="E47">
        <v>1.5</v>
      </c>
    </row>
    <row r="48" spans="1:5" x14ac:dyDescent="0.2">
      <c r="A48" t="s">
        <v>576</v>
      </c>
      <c r="B48" t="s">
        <v>542</v>
      </c>
      <c r="C48" t="str" cm="1">
        <f t="array" ref="C48">_xlfn.REGEXEXTRACT(A48,"(P?B?\w*\d)$",0,1)</f>
        <v>P2T15</v>
      </c>
      <c r="D48">
        <v>57.3</v>
      </c>
      <c r="E48">
        <v>1.26</v>
      </c>
    </row>
    <row r="49" spans="1:5" x14ac:dyDescent="0.2">
      <c r="A49" t="s">
        <v>577</v>
      </c>
      <c r="B49" t="s">
        <v>542</v>
      </c>
      <c r="C49" t="str" cm="1">
        <f t="array" ref="C49">_xlfn.REGEXEXTRACT(A49,"(P?B?\w*\d)$",0,1)</f>
        <v>P2T23</v>
      </c>
      <c r="D49">
        <v>54.81</v>
      </c>
      <c r="E49">
        <v>1.17</v>
      </c>
    </row>
    <row r="50" spans="1:5" x14ac:dyDescent="0.2">
      <c r="A50" t="s">
        <v>578</v>
      </c>
      <c r="B50" t="s">
        <v>542</v>
      </c>
      <c r="C50" t="str" cm="1">
        <f t="array" ref="C50">_xlfn.REGEXEXTRACT(A50,"(P?B?\w*\d)$",0,1)</f>
        <v>P2T27</v>
      </c>
      <c r="D50">
        <v>56.33</v>
      </c>
      <c r="E50">
        <v>1.2</v>
      </c>
    </row>
    <row r="51" spans="1:5" x14ac:dyDescent="0.2">
      <c r="A51" t="s">
        <v>579</v>
      </c>
      <c r="B51" t="s">
        <v>542</v>
      </c>
      <c r="C51" t="str" cm="1">
        <f t="array" ref="C51">_xlfn.REGEXEXTRACT(A51,"(P?B?\w*\d)$",0,1)</f>
        <v>P2T35</v>
      </c>
      <c r="D51">
        <v>63.49</v>
      </c>
      <c r="E51">
        <v>1.27</v>
      </c>
    </row>
    <row r="52" spans="1:5" x14ac:dyDescent="0.2">
      <c r="A52" t="s">
        <v>580</v>
      </c>
      <c r="B52" t="s">
        <v>542</v>
      </c>
      <c r="C52" t="str" cm="1">
        <f t="array" ref="C52">_xlfn.REGEXEXTRACT(A52,"(P?B?\w*\d)$",0,1)</f>
        <v>P2T39</v>
      </c>
      <c r="D52">
        <v>59.62</v>
      </c>
      <c r="E52">
        <v>1.21</v>
      </c>
    </row>
    <row r="53" spans="1:5" x14ac:dyDescent="0.2">
      <c r="A53" t="s">
        <v>581</v>
      </c>
      <c r="B53" t="s">
        <v>542</v>
      </c>
      <c r="C53" t="str" cm="1">
        <f t="array" ref="C53">_xlfn.REGEXEXTRACT(A53,"(P?B?\w*\d)$",0,1)</f>
        <v>P2T43</v>
      </c>
    </row>
    <row r="54" spans="1:5" x14ac:dyDescent="0.2">
      <c r="A54" t="s">
        <v>582</v>
      </c>
      <c r="B54" t="s">
        <v>542</v>
      </c>
      <c r="C54" t="str" cm="1">
        <f t="array" ref="C54">_xlfn.REGEXEXTRACT(A54,"(P?B?\w*\d)$",0,1)</f>
        <v>P2T46</v>
      </c>
      <c r="D54">
        <v>68.47</v>
      </c>
      <c r="E54">
        <v>0.82</v>
      </c>
    </row>
    <row r="55" spans="1:5" x14ac:dyDescent="0.2">
      <c r="A55" t="s">
        <v>583</v>
      </c>
      <c r="B55" t="s">
        <v>542</v>
      </c>
      <c r="C55" t="str" cm="1">
        <f t="array" ref="C55">_xlfn.REGEXEXTRACT(A55,"(P?B?\w*\d)$",0,1)</f>
        <v>P2T55</v>
      </c>
    </row>
    <row r="56" spans="1:5" x14ac:dyDescent="0.2">
      <c r="A56" t="s">
        <v>584</v>
      </c>
      <c r="B56" t="s">
        <v>542</v>
      </c>
      <c r="C56" t="str" cm="1">
        <f t="array" ref="C56">_xlfn.REGEXEXTRACT(A56,"(P?B?\w*\d)$",0,1)</f>
        <v>P2T57</v>
      </c>
    </row>
    <row r="57" spans="1:5" x14ac:dyDescent="0.2">
      <c r="A57" t="s">
        <v>585</v>
      </c>
      <c r="B57" t="s">
        <v>542</v>
      </c>
      <c r="C57" t="str" cm="1">
        <f t="array" ref="C57">_xlfn.REGEXEXTRACT(A57,"(P?B?\w*\d)$",0,1)</f>
        <v>P2T58</v>
      </c>
      <c r="D57">
        <v>1.04</v>
      </c>
      <c r="E57">
        <v>1.57</v>
      </c>
    </row>
    <row r="58" spans="1:5" x14ac:dyDescent="0.2">
      <c r="A58" t="s">
        <v>586</v>
      </c>
      <c r="B58" t="s">
        <v>542</v>
      </c>
      <c r="C58" t="str" cm="1">
        <f t="array" ref="C58">_xlfn.REGEXEXTRACT(A58,"(P?B?\w*\d)$",0,1)</f>
        <v>P2T59</v>
      </c>
    </row>
    <row r="59" spans="1:5" x14ac:dyDescent="0.2">
      <c r="A59" t="s">
        <v>587</v>
      </c>
      <c r="B59" t="s">
        <v>542</v>
      </c>
      <c r="C59" t="str" cm="1">
        <f t="array" ref="C59">_xlfn.REGEXEXTRACT(A59,"(P?B?\w*\d)$",0,1)</f>
        <v>P2T60</v>
      </c>
      <c r="D59">
        <v>30.5</v>
      </c>
      <c r="E59">
        <v>1.17</v>
      </c>
    </row>
    <row r="60" spans="1:5" x14ac:dyDescent="0.2">
      <c r="A60" t="s">
        <v>588</v>
      </c>
      <c r="B60" t="s">
        <v>542</v>
      </c>
      <c r="C60" t="str" cm="1">
        <f t="array" ref="C60">_xlfn.REGEXEXTRACT(A60,"(P?B?\w*\d)$",0,1)</f>
        <v>P2T63</v>
      </c>
    </row>
    <row r="61" spans="1:5" x14ac:dyDescent="0.2">
      <c r="A61" t="s">
        <v>589</v>
      </c>
      <c r="B61" t="s">
        <v>542</v>
      </c>
      <c r="C61" t="str" cm="1">
        <f t="array" ref="C61">_xlfn.REGEXEXTRACT(A61,"(P?B?\w*\d)$",0,1)</f>
        <v>P2T67</v>
      </c>
    </row>
    <row r="62" spans="1:5" x14ac:dyDescent="0.2">
      <c r="A62" t="s">
        <v>590</v>
      </c>
      <c r="B62" t="s">
        <v>542</v>
      </c>
      <c r="C62" t="str" cm="1">
        <f t="array" ref="C62">_xlfn.REGEXEXTRACT(A62,"(P?B?\w*\d)$",0,1)</f>
        <v>P2T70</v>
      </c>
      <c r="D62">
        <v>0.97</v>
      </c>
      <c r="E62">
        <v>0.71</v>
      </c>
    </row>
    <row r="63" spans="1:5" x14ac:dyDescent="0.2">
      <c r="A63" t="s">
        <v>640</v>
      </c>
      <c r="B63" t="s">
        <v>542</v>
      </c>
      <c r="C63" t="str" cm="1">
        <f t="array" ref="C63">_xlfn.REGEXEXTRACT(A63,"(P?B?\w*\d)$",0,1)</f>
        <v>P2T75</v>
      </c>
      <c r="D63">
        <v>33.549999999999997</v>
      </c>
      <c r="E63">
        <v>1.1100000000000001</v>
      </c>
    </row>
    <row r="64" spans="1:5" x14ac:dyDescent="0.2">
      <c r="A64" t="s">
        <v>591</v>
      </c>
      <c r="B64" t="s">
        <v>542</v>
      </c>
      <c r="C64" t="str" cm="1">
        <f t="array" ref="C64">_xlfn.REGEXEXTRACT(A64,"(P?B?\w*\d)$",0,1)</f>
        <v>P2T80</v>
      </c>
      <c r="D64">
        <v>33.85</v>
      </c>
      <c r="E64">
        <v>1.1399999999999999</v>
      </c>
    </row>
    <row r="65" spans="1:5" x14ac:dyDescent="0.2">
      <c r="A65" t="s">
        <v>592</v>
      </c>
      <c r="B65" t="s">
        <v>542</v>
      </c>
      <c r="C65" t="str" cm="1">
        <f t="array" ref="C65">_xlfn.REGEXEXTRACT(A65,"(P?B?\w*\d)$",0,1)</f>
        <v>B2T2</v>
      </c>
      <c r="D65">
        <v>33.83</v>
      </c>
      <c r="E65">
        <v>1.1100000000000001</v>
      </c>
    </row>
    <row r="66" spans="1:5" x14ac:dyDescent="0.2">
      <c r="A66" t="s">
        <v>593</v>
      </c>
      <c r="B66" t="s">
        <v>542</v>
      </c>
      <c r="C66" t="str" cm="1">
        <f t="array" ref="C66">_xlfn.REGEXEXTRACT(A66,"(P?B?\w*\d)$",0,1)</f>
        <v>B2T6</v>
      </c>
      <c r="D66">
        <v>7.55</v>
      </c>
      <c r="E66">
        <v>1.1000000000000001</v>
      </c>
    </row>
    <row r="67" spans="1:5" x14ac:dyDescent="0.2">
      <c r="A67" t="s">
        <v>594</v>
      </c>
      <c r="B67" t="s">
        <v>542</v>
      </c>
      <c r="C67" t="str" cm="1">
        <f t="array" ref="C67">_xlfn.REGEXEXTRACT(A67,"(P?B?\w*\d)$",0,1)</f>
        <v>B2T10</v>
      </c>
      <c r="D67">
        <v>5.01</v>
      </c>
      <c r="E67">
        <v>1.1599999999999999</v>
      </c>
    </row>
    <row r="68" spans="1:5" x14ac:dyDescent="0.2">
      <c r="A68" t="s">
        <v>595</v>
      </c>
      <c r="B68" t="s">
        <v>542</v>
      </c>
      <c r="C68" t="str" cm="1">
        <f t="array" ref="C68">_xlfn.REGEXEXTRACT(A68,"(P?B?\w*\d)$",0,1)</f>
        <v>B2T14</v>
      </c>
      <c r="D68">
        <v>2.4300000000000002</v>
      </c>
      <c r="E68">
        <v>1.05</v>
      </c>
    </row>
    <row r="69" spans="1:5" x14ac:dyDescent="0.2">
      <c r="A69" t="s">
        <v>596</v>
      </c>
      <c r="B69" t="s">
        <v>542</v>
      </c>
      <c r="C69" t="str" cm="1">
        <f t="array" ref="C69">_xlfn.REGEXEXTRACT(A69,"(P?B?\w*\d)$",0,1)</f>
        <v>P3T0</v>
      </c>
      <c r="D69">
        <v>123.96</v>
      </c>
      <c r="E69">
        <v>8.42</v>
      </c>
    </row>
    <row r="70" spans="1:5" x14ac:dyDescent="0.2">
      <c r="A70" t="s">
        <v>597</v>
      </c>
      <c r="B70" t="s">
        <v>542</v>
      </c>
      <c r="C70" t="str" cm="1">
        <f t="array" ref="C70">_xlfn.REGEXEXTRACT(A70,"(P?B?\w*\d)$",0,1)</f>
        <v>P3T3</v>
      </c>
      <c r="D70">
        <v>51.44</v>
      </c>
      <c r="E70">
        <v>2.11</v>
      </c>
    </row>
    <row r="71" spans="1:5" x14ac:dyDescent="0.2">
      <c r="A71" t="s">
        <v>598</v>
      </c>
      <c r="B71" t="s">
        <v>542</v>
      </c>
      <c r="C71" t="str" cm="1">
        <f t="array" ref="C71">_xlfn.REGEXEXTRACT(A71,"(P?B?\w*\d)$",0,1)</f>
        <v>P3T8</v>
      </c>
      <c r="D71">
        <v>51.9</v>
      </c>
      <c r="E71">
        <v>1.66</v>
      </c>
    </row>
    <row r="72" spans="1:5" x14ac:dyDescent="0.2">
      <c r="A72" t="s">
        <v>599</v>
      </c>
      <c r="B72" t="s">
        <v>542</v>
      </c>
      <c r="C72" t="str" cm="1">
        <f t="array" ref="C72">_xlfn.REGEXEXTRACT(A72,"(P?B?\w*\d)$",0,1)</f>
        <v>P3T15</v>
      </c>
      <c r="D72">
        <v>56.2</v>
      </c>
      <c r="E72">
        <v>1.48</v>
      </c>
    </row>
    <row r="73" spans="1:5" x14ac:dyDescent="0.2">
      <c r="A73" t="s">
        <v>600</v>
      </c>
      <c r="B73" t="s">
        <v>542</v>
      </c>
      <c r="C73" t="str" cm="1">
        <f t="array" ref="C73">_xlfn.REGEXEXTRACT(A73,"(P?B?\w*\d)$",0,1)</f>
        <v>P3T23</v>
      </c>
      <c r="D73">
        <v>55.1</v>
      </c>
      <c r="E73">
        <v>1.35</v>
      </c>
    </row>
    <row r="74" spans="1:5" x14ac:dyDescent="0.2">
      <c r="A74" t="s">
        <v>601</v>
      </c>
      <c r="B74" t="s">
        <v>542</v>
      </c>
      <c r="C74" t="str" cm="1">
        <f t="array" ref="C74">_xlfn.REGEXEXTRACT(A74,"(P?B?\w*\d)$",0,1)</f>
        <v>P3T27</v>
      </c>
      <c r="D74">
        <v>53.23</v>
      </c>
      <c r="E74">
        <v>1.29</v>
      </c>
    </row>
    <row r="75" spans="1:5" x14ac:dyDescent="0.2">
      <c r="A75" t="s">
        <v>602</v>
      </c>
      <c r="B75" t="s">
        <v>542</v>
      </c>
      <c r="C75" t="str" cm="1">
        <f t="array" ref="C75">_xlfn.REGEXEXTRACT(A75,"(P?B?\w*\d)$",0,1)</f>
        <v>P3T35</v>
      </c>
      <c r="D75">
        <v>67</v>
      </c>
      <c r="E75">
        <v>1.25</v>
      </c>
    </row>
    <row r="76" spans="1:5" x14ac:dyDescent="0.2">
      <c r="A76" t="s">
        <v>603</v>
      </c>
      <c r="B76" t="s">
        <v>542</v>
      </c>
      <c r="C76" t="str" cm="1">
        <f t="array" ref="C76">_xlfn.REGEXEXTRACT(A76,"(P?B?\w*\d)$",0,1)</f>
        <v>P3T39</v>
      </c>
      <c r="D76">
        <v>60.19</v>
      </c>
      <c r="E76">
        <v>1.23</v>
      </c>
    </row>
    <row r="77" spans="1:5" x14ac:dyDescent="0.2">
      <c r="A77" t="s">
        <v>604</v>
      </c>
      <c r="B77" t="s">
        <v>542</v>
      </c>
      <c r="C77" t="str" cm="1">
        <f t="array" ref="C77">_xlfn.REGEXEXTRACT(A77,"(P?B?\w*\d)$",0,1)</f>
        <v>P3T43</v>
      </c>
      <c r="D77">
        <v>71.27</v>
      </c>
      <c r="E77">
        <v>1.22</v>
      </c>
    </row>
    <row r="78" spans="1:5" x14ac:dyDescent="0.2">
      <c r="A78" t="s">
        <v>605</v>
      </c>
      <c r="B78" t="s">
        <v>542</v>
      </c>
      <c r="C78" t="str" cm="1">
        <f t="array" ref="C78">_xlfn.REGEXEXTRACT(A78,"(P?B?\w*\d)$",0,1)</f>
        <v>P3T47</v>
      </c>
      <c r="D78">
        <v>70.75</v>
      </c>
      <c r="E78">
        <v>1.41</v>
      </c>
    </row>
    <row r="79" spans="1:5" x14ac:dyDescent="0.2">
      <c r="A79" t="s">
        <v>606</v>
      </c>
      <c r="B79" t="s">
        <v>542</v>
      </c>
      <c r="C79" t="str" cm="1">
        <f t="array" ref="C79">_xlfn.REGEXEXTRACT(A79,"(P?B?\w*\d)$",0,1)</f>
        <v>P3T55</v>
      </c>
      <c r="D79">
        <v>67.06</v>
      </c>
      <c r="E79">
        <v>1.37</v>
      </c>
    </row>
    <row r="80" spans="1:5" x14ac:dyDescent="0.2">
      <c r="A80" t="s">
        <v>607</v>
      </c>
      <c r="B80" t="s">
        <v>542</v>
      </c>
      <c r="C80" t="str" cm="1">
        <f t="array" ref="C80">_xlfn.REGEXEXTRACT(A80,"(P?B?\w*\d)$",0,1)</f>
        <v>P3T57</v>
      </c>
      <c r="D80">
        <v>66.92</v>
      </c>
      <c r="E80">
        <v>1.1599999999999999</v>
      </c>
    </row>
    <row r="81" spans="1:5" x14ac:dyDescent="0.2">
      <c r="A81" t="s">
        <v>608</v>
      </c>
      <c r="B81" t="s">
        <v>542</v>
      </c>
      <c r="C81" t="str" cm="1">
        <f t="array" ref="C81">_xlfn.REGEXEXTRACT(A81,"(P?B?\w*\d)$",0,1)</f>
        <v>P3T58</v>
      </c>
      <c r="D81">
        <v>53.04</v>
      </c>
      <c r="E81">
        <v>1.1000000000000001</v>
      </c>
    </row>
    <row r="82" spans="1:5" x14ac:dyDescent="0.2">
      <c r="A82" t="s">
        <v>609</v>
      </c>
      <c r="B82" t="s">
        <v>542</v>
      </c>
      <c r="C82" t="str" cm="1">
        <f t="array" ref="C82">_xlfn.REGEXEXTRACT(A82,"(P?B?\w*\d)$",0,1)</f>
        <v>P3T59</v>
      </c>
      <c r="D82">
        <v>38.04</v>
      </c>
      <c r="E82">
        <v>1.17</v>
      </c>
    </row>
    <row r="83" spans="1:5" x14ac:dyDescent="0.2">
      <c r="A83" t="s">
        <v>610</v>
      </c>
      <c r="B83" t="s">
        <v>542</v>
      </c>
      <c r="C83" t="str" cm="1">
        <f t="array" ref="C83">_xlfn.REGEXEXTRACT(A83,"(P?B?\w*\d)$",0,1)</f>
        <v>P3T60</v>
      </c>
      <c r="D83">
        <v>35.07</v>
      </c>
      <c r="E83">
        <v>1.18</v>
      </c>
    </row>
    <row r="84" spans="1:5" x14ac:dyDescent="0.2">
      <c r="A84" t="s">
        <v>611</v>
      </c>
      <c r="B84" t="s">
        <v>542</v>
      </c>
      <c r="C84" t="str" cm="1">
        <f t="array" ref="C84">_xlfn.REGEXEXTRACT(A84,"(P?B?\w*\d)$",0,1)</f>
        <v>P3T63</v>
      </c>
      <c r="D84">
        <v>34.18</v>
      </c>
      <c r="E84">
        <v>1.1200000000000001</v>
      </c>
    </row>
    <row r="85" spans="1:5" x14ac:dyDescent="0.2">
      <c r="A85" t="s">
        <v>612</v>
      </c>
      <c r="B85" t="s">
        <v>542</v>
      </c>
      <c r="C85" t="str" cm="1">
        <f t="array" ref="C85">_xlfn.REGEXEXTRACT(A85,"(P?B?\w*\d)$",0,1)</f>
        <v>P3T67</v>
      </c>
      <c r="D85">
        <v>36.92</v>
      </c>
      <c r="E85">
        <v>1.1000000000000001</v>
      </c>
    </row>
    <row r="86" spans="1:5" x14ac:dyDescent="0.2">
      <c r="A86" t="s">
        <v>613</v>
      </c>
      <c r="B86" t="s">
        <v>542</v>
      </c>
      <c r="C86" t="str" cm="1">
        <f t="array" ref="C86">_xlfn.REGEXEXTRACT(A86,"(P?B?\w*\d)$",0,1)</f>
        <v>P3T70</v>
      </c>
      <c r="D86">
        <v>36.79</v>
      </c>
      <c r="E86">
        <v>1.0900000000000001</v>
      </c>
    </row>
    <row r="87" spans="1:5" x14ac:dyDescent="0.2">
      <c r="A87" t="s">
        <v>614</v>
      </c>
      <c r="B87" t="s">
        <v>542</v>
      </c>
      <c r="C87" t="str" cm="1">
        <f t="array" ref="C87">_xlfn.REGEXEXTRACT(A87,"(P?B?\w*\d)$",0,1)</f>
        <v>P3T75</v>
      </c>
      <c r="D87">
        <v>39.14</v>
      </c>
      <c r="E87">
        <v>1.1299999999999999</v>
      </c>
    </row>
    <row r="88" spans="1:5" x14ac:dyDescent="0.2">
      <c r="A88" t="s">
        <v>615</v>
      </c>
      <c r="B88" t="s">
        <v>542</v>
      </c>
      <c r="C88" t="str" cm="1">
        <f t="array" ref="C88">_xlfn.REGEXEXTRACT(A88,"(P?B?\w*\d)$",0,1)</f>
        <v>P3T80</v>
      </c>
      <c r="D88">
        <v>38.42</v>
      </c>
      <c r="E88">
        <v>1.08</v>
      </c>
    </row>
    <row r="89" spans="1:5" x14ac:dyDescent="0.2">
      <c r="A89" t="s">
        <v>616</v>
      </c>
      <c r="B89" t="s">
        <v>542</v>
      </c>
      <c r="C89" t="str" cm="1">
        <f t="array" ref="C89">_xlfn.REGEXEXTRACT(A89,"(P?B?\w*\d)$",0,1)</f>
        <v>B3T2</v>
      </c>
      <c r="D89">
        <v>38.94</v>
      </c>
      <c r="E89">
        <v>1.1000000000000001</v>
      </c>
    </row>
    <row r="90" spans="1:5" x14ac:dyDescent="0.2">
      <c r="A90" t="s">
        <v>617</v>
      </c>
      <c r="B90" t="s">
        <v>542</v>
      </c>
      <c r="C90" t="str" cm="1">
        <f t="array" ref="C90">_xlfn.REGEXEXTRACT(A90,"(P?B?\w*\d)$",0,1)</f>
        <v>B3T6</v>
      </c>
      <c r="D90">
        <v>11.54</v>
      </c>
      <c r="E90">
        <v>1.36</v>
      </c>
    </row>
    <row r="91" spans="1:5" x14ac:dyDescent="0.2">
      <c r="A91" t="s">
        <v>618</v>
      </c>
      <c r="B91" t="s">
        <v>542</v>
      </c>
      <c r="C91" t="str" cm="1">
        <f t="array" ref="C91">_xlfn.REGEXEXTRACT(A91,"(P?B?\w*\d)$",0,1)</f>
        <v>B3T10</v>
      </c>
      <c r="D91">
        <v>8.25</v>
      </c>
      <c r="E91">
        <v>1.04</v>
      </c>
    </row>
    <row r="92" spans="1:5" x14ac:dyDescent="0.2">
      <c r="A92" t="s">
        <v>619</v>
      </c>
      <c r="B92" t="s">
        <v>542</v>
      </c>
      <c r="C92" t="str" cm="1">
        <f t="array" ref="C92">_xlfn.REGEXEXTRACT(A92,"(P?B?\w*\d)$",0,1)</f>
        <v>B3T14</v>
      </c>
      <c r="D92">
        <v>8.67</v>
      </c>
      <c r="E92">
        <v>1.06</v>
      </c>
    </row>
    <row r="93" spans="1:5" x14ac:dyDescent="0.2">
      <c r="A93" t="s">
        <v>620</v>
      </c>
      <c r="B93" t="s">
        <v>542</v>
      </c>
      <c r="C93" t="str" cm="1">
        <f t="array" ref="C93">_xlfn.REGEXEXTRACT(A93,"(P?B?\w*\d)$",0,1)</f>
        <v>B3T16</v>
      </c>
      <c r="D93">
        <v>8.74</v>
      </c>
      <c r="E93">
        <v>1.04</v>
      </c>
    </row>
    <row r="94" spans="1:5" x14ac:dyDescent="0.2">
      <c r="A94" t="s">
        <v>621</v>
      </c>
      <c r="B94" t="s">
        <v>542</v>
      </c>
      <c r="C94" t="str" cm="1">
        <f t="array" ref="C94">_xlfn.REGEXEXTRACT(A94,"(P?B?\w*\d)$",0,1)</f>
        <v>B2T16</v>
      </c>
      <c r="D94">
        <v>3.92</v>
      </c>
      <c r="E94">
        <v>1.1100000000000001</v>
      </c>
    </row>
    <row r="95" spans="1:5" x14ac:dyDescent="0.2">
      <c r="A95" t="s">
        <v>622</v>
      </c>
      <c r="B95" t="s">
        <v>542</v>
      </c>
      <c r="C95" t="str" cm="1">
        <f t="array" ref="C95">_xlfn.REGEXEXTRACT(A95,"(P?B?\w*\d)$",0,1)</f>
        <v>P4T0</v>
      </c>
      <c r="D95">
        <v>2.4700000000000002</v>
      </c>
      <c r="E95">
        <v>7.68</v>
      </c>
    </row>
    <row r="96" spans="1:5" x14ac:dyDescent="0.2">
      <c r="A96" t="s">
        <v>623</v>
      </c>
      <c r="B96" t="s">
        <v>542</v>
      </c>
      <c r="C96" t="str" cm="1">
        <f t="array" ref="C96">_xlfn.REGEXEXTRACT(A96,"(P?B?\w*\d)$",0,1)</f>
        <v>P4T3</v>
      </c>
      <c r="D96">
        <v>1.0900000000000001</v>
      </c>
      <c r="E96">
        <v>1.81</v>
      </c>
    </row>
    <row r="97" spans="1:5" x14ac:dyDescent="0.2">
      <c r="A97" t="s">
        <v>624</v>
      </c>
      <c r="B97" t="s">
        <v>542</v>
      </c>
      <c r="C97" t="str" cm="1">
        <f t="array" ref="C97">_xlfn.REGEXEXTRACT(A97,"(P?B?\w*\d)$",0,1)</f>
        <v>P4T8</v>
      </c>
      <c r="D97">
        <v>1.02</v>
      </c>
      <c r="E97">
        <v>1.54</v>
      </c>
    </row>
    <row r="98" spans="1:5" x14ac:dyDescent="0.2">
      <c r="A98" t="s">
        <v>625</v>
      </c>
      <c r="B98" t="s">
        <v>542</v>
      </c>
      <c r="C98" t="str" cm="1">
        <f t="array" ref="C98">_xlfn.REGEXEXTRACT(A98,"(P?B?\w*\d)$",0,1)</f>
        <v>P4T15</v>
      </c>
      <c r="D98">
        <v>1</v>
      </c>
      <c r="E98">
        <v>1.21</v>
      </c>
    </row>
    <row r="99" spans="1:5" x14ac:dyDescent="0.2">
      <c r="A99" t="s">
        <v>626</v>
      </c>
      <c r="B99" t="s">
        <v>542</v>
      </c>
      <c r="C99" t="str" cm="1">
        <f t="array" ref="C99">_xlfn.REGEXEXTRACT(A99,"(P?B?\w*\d)$",0,1)</f>
        <v>P4T23</v>
      </c>
      <c r="D99">
        <v>1.02</v>
      </c>
      <c r="E99">
        <v>0.71</v>
      </c>
    </row>
    <row r="100" spans="1:5" x14ac:dyDescent="0.2">
      <c r="A100" t="s">
        <v>627</v>
      </c>
      <c r="B100" t="s">
        <v>542</v>
      </c>
      <c r="C100" t="str" cm="1">
        <f t="array" ref="C100">_xlfn.REGEXEXTRACT(A100,"(P?B?\w*\d)$",0,1)</f>
        <v>P4T27</v>
      </c>
      <c r="D100">
        <v>1</v>
      </c>
      <c r="E100">
        <v>1.07</v>
      </c>
    </row>
    <row r="101" spans="1:5" x14ac:dyDescent="0.2">
      <c r="A101" t="s">
        <v>628</v>
      </c>
      <c r="B101" t="s">
        <v>542</v>
      </c>
      <c r="C101" t="str" cm="1">
        <f t="array" ref="C101">_xlfn.REGEXEXTRACT(A101,"(P?B?\w*\d)$",0,1)</f>
        <v>P4T35</v>
      </c>
    </row>
    <row r="102" spans="1:5" x14ac:dyDescent="0.2">
      <c r="A102" t="s">
        <v>629</v>
      </c>
      <c r="B102" t="s">
        <v>542</v>
      </c>
      <c r="C102" t="str" cm="1">
        <f t="array" ref="C102">_xlfn.REGEXEXTRACT(A102,"(P?B?\w*\d)$",0,1)</f>
        <v>P4T39</v>
      </c>
      <c r="D102">
        <v>0.98</v>
      </c>
      <c r="E102">
        <v>0.85</v>
      </c>
    </row>
    <row r="103" spans="1:5" x14ac:dyDescent="0.2">
      <c r="A103" t="s">
        <v>630</v>
      </c>
      <c r="B103" t="s">
        <v>542</v>
      </c>
      <c r="C103" t="str" cm="1">
        <f t="array" ref="C103">_xlfn.REGEXEXTRACT(A103,"(P?B?\w*\d)$",0,1)</f>
        <v>P4T43</v>
      </c>
      <c r="D103">
        <v>1</v>
      </c>
      <c r="E103">
        <v>0.72</v>
      </c>
    </row>
    <row r="104" spans="1:5" x14ac:dyDescent="0.2">
      <c r="A104" t="s">
        <v>631</v>
      </c>
      <c r="B104" t="s">
        <v>542</v>
      </c>
      <c r="C104" t="str" cm="1">
        <f t="array" ref="C104">_xlfn.REGEXEXTRACT(A104,"(P?B?\w*\d)$",0,1)</f>
        <v>P4T47</v>
      </c>
      <c r="D104">
        <v>0.99</v>
      </c>
      <c r="E104">
        <v>0.93</v>
      </c>
    </row>
    <row r="105" spans="1:5" x14ac:dyDescent="0.2">
      <c r="A105" t="s">
        <v>632</v>
      </c>
      <c r="B105" t="s">
        <v>542</v>
      </c>
      <c r="C105" t="str" cm="1">
        <f t="array" ref="C105">_xlfn.REGEXEXTRACT(A105,"(P?B?\w*\d)$",0,1)</f>
        <v>P4T55</v>
      </c>
      <c r="D105">
        <v>0.99</v>
      </c>
      <c r="E105">
        <v>0.86</v>
      </c>
    </row>
    <row r="106" spans="1:5" x14ac:dyDescent="0.2">
      <c r="A106" t="s">
        <v>633</v>
      </c>
      <c r="B106" t="s">
        <v>542</v>
      </c>
      <c r="C106" t="str" cm="1">
        <f t="array" ref="C106">_xlfn.REGEXEXTRACT(A106,"(P?B?\w*\d)$",0,1)</f>
        <v>P4T59</v>
      </c>
      <c r="D106">
        <v>0.99</v>
      </c>
      <c r="E106">
        <v>0.93</v>
      </c>
    </row>
    <row r="107" spans="1:5" x14ac:dyDescent="0.2">
      <c r="A107" t="s">
        <v>634</v>
      </c>
      <c r="B107" t="s">
        <v>542</v>
      </c>
      <c r="C107" t="str" cm="1">
        <f t="array" ref="C107">_xlfn.REGEXEXTRACT(A107,"(P?B?\w*\d)$",0,1)</f>
        <v>P4T63</v>
      </c>
      <c r="D107">
        <v>0.99</v>
      </c>
      <c r="E107">
        <v>0.91</v>
      </c>
    </row>
    <row r="108" spans="1:5" x14ac:dyDescent="0.2">
      <c r="A108" t="s">
        <v>635</v>
      </c>
      <c r="B108" t="s">
        <v>542</v>
      </c>
      <c r="C108" t="str" cm="1">
        <f t="array" ref="C108">_xlfn.REGEXEXTRACT(A108,"(P?B?\w*\d)$",0,1)</f>
        <v>P4T67</v>
      </c>
      <c r="D108">
        <v>1.04</v>
      </c>
      <c r="E108">
        <v>0.84</v>
      </c>
    </row>
    <row r="109" spans="1:5" x14ac:dyDescent="0.2">
      <c r="A109" t="s">
        <v>636</v>
      </c>
      <c r="B109" t="s">
        <v>542</v>
      </c>
      <c r="C109" t="str" cm="1">
        <f t="array" ref="C109">_xlfn.REGEXEXTRACT(A109,"(P?B?\w*\d)$",0,1)</f>
        <v>P4T70</v>
      </c>
      <c r="D109">
        <v>0.99</v>
      </c>
      <c r="E109">
        <v>0.87</v>
      </c>
    </row>
    <row r="110" spans="1:5" x14ac:dyDescent="0.2">
      <c r="A110" t="s">
        <v>637</v>
      </c>
      <c r="B110" t="s">
        <v>542</v>
      </c>
      <c r="C110" t="str" cm="1">
        <f t="array" ref="C110">_xlfn.REGEXEXTRACT(A110,"(P?B?\w*\d)$",0,1)</f>
        <v>P4T75</v>
      </c>
      <c r="D110">
        <v>1.02</v>
      </c>
      <c r="E110">
        <v>0.87</v>
      </c>
    </row>
    <row r="111" spans="1:5" x14ac:dyDescent="0.2">
      <c r="A111" t="s">
        <v>638</v>
      </c>
      <c r="B111" t="s">
        <v>542</v>
      </c>
      <c r="C111" t="str" cm="1">
        <f t="array" ref="C111">_xlfn.REGEXEXTRACT(A111,"(P?B?\w*\d)$",0,1)</f>
        <v>P4T80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general_samples_p1</vt:lpstr>
      <vt:lpstr>general_samples_p2</vt:lpstr>
      <vt:lpstr>general_samples_p3</vt:lpstr>
      <vt:lpstr>general_samples_p4</vt:lpstr>
      <vt:lpstr>IC_table</vt:lpstr>
      <vt:lpstr>bromide_curve</vt:lpstr>
      <vt:lpstr>bromide_curve_v2</vt:lpstr>
      <vt:lpstr>fe_total</vt:lpstr>
      <vt:lpstr>hs</vt:lpstr>
      <vt:lpstr>standard_curve_no2</vt:lpstr>
      <vt:lpstr>fe_plate_1</vt:lpstr>
      <vt:lpstr>DIC_DOC</vt:lpstr>
      <vt:lpstr>IC_raw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 Patricio Cantarella</dc:creator>
  <cp:lastModifiedBy>Vitor  Patricio Cantarella</cp:lastModifiedBy>
  <dcterms:created xsi:type="dcterms:W3CDTF">2025-09-24T14:13:05Z</dcterms:created>
  <dcterms:modified xsi:type="dcterms:W3CDTF">2025-10-31T12:23:12Z</dcterms:modified>
</cp:coreProperties>
</file>